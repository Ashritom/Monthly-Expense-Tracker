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drawings/drawing2.xml" ContentType="application/vnd.openxmlformats-officedocument.drawing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esktop\"/>
    </mc:Choice>
  </mc:AlternateContent>
  <xr:revisionPtr revIDLastSave="0" documentId="13_ncr:1_{6F16F153-246F-45D4-959B-CA7268DB3C73}" xr6:coauthVersionLast="47" xr6:coauthVersionMax="47" xr10:uidLastSave="{00000000-0000-0000-0000-000000000000}"/>
  <bookViews>
    <workbookView xWindow="-108" yWindow="-108" windowWidth="23256" windowHeight="12456" xr2:uid="{5EBE2FA8-FEBE-4097-A2E4-4CDFBC86CE0C}"/>
  </bookViews>
  <sheets>
    <sheet name="Master - Do not Edit" sheetId="2" r:id="rId1"/>
    <sheet name="Create copy and use" sheetId="5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103" i="5" l="1"/>
  <c r="F102" i="5"/>
  <c r="F101" i="5"/>
  <c r="F100" i="5"/>
  <c r="F99" i="5"/>
  <c r="F98" i="5"/>
  <c r="F97" i="5"/>
  <c r="F96" i="5"/>
  <c r="F95" i="5"/>
  <c r="F94" i="5"/>
  <c r="F93" i="5"/>
  <c r="F92" i="5"/>
  <c r="F91" i="5"/>
  <c r="F90" i="5"/>
  <c r="F89" i="5"/>
  <c r="F88" i="5"/>
  <c r="F87" i="5"/>
  <c r="F86" i="5"/>
  <c r="F85" i="5"/>
  <c r="F84" i="5"/>
  <c r="F83" i="5"/>
  <c r="F82" i="5"/>
  <c r="F81" i="5"/>
  <c r="F80" i="5"/>
  <c r="F79" i="5"/>
  <c r="F78" i="5"/>
  <c r="F77" i="5"/>
  <c r="F76" i="5"/>
  <c r="F75" i="5"/>
  <c r="F74" i="5"/>
  <c r="F73" i="5"/>
  <c r="F72" i="5"/>
  <c r="F71" i="5"/>
  <c r="F70" i="5"/>
  <c r="F69" i="5"/>
  <c r="F68" i="5"/>
  <c r="F67" i="5"/>
  <c r="F66" i="5"/>
  <c r="F65" i="5"/>
  <c r="F64" i="5"/>
  <c r="F63" i="5"/>
  <c r="F62" i="5"/>
  <c r="F61" i="5"/>
  <c r="F60" i="5"/>
  <c r="F59" i="5"/>
  <c r="F58" i="5"/>
  <c r="F57" i="5"/>
  <c r="F56" i="5"/>
  <c r="F55" i="5"/>
  <c r="F54" i="5"/>
  <c r="F53" i="5"/>
  <c r="F52" i="5"/>
  <c r="F51" i="5"/>
  <c r="F50" i="5"/>
  <c r="F49" i="5"/>
  <c r="F48" i="5"/>
  <c r="F47" i="5"/>
  <c r="F46" i="5"/>
  <c r="F45" i="5"/>
  <c r="F44" i="5"/>
  <c r="F43" i="5"/>
  <c r="F42" i="5"/>
  <c r="F41" i="5"/>
  <c r="F40" i="5"/>
  <c r="F38" i="5"/>
  <c r="F37" i="5"/>
  <c r="F36" i="5"/>
  <c r="F35" i="5"/>
  <c r="F34" i="5"/>
  <c r="F33" i="5"/>
  <c r="J32" i="5"/>
  <c r="J33" i="5" s="1"/>
  <c r="J34" i="5" s="1"/>
  <c r="F32" i="5"/>
  <c r="F31" i="5"/>
  <c r="F30" i="5"/>
  <c r="J29" i="5"/>
  <c r="F29" i="5"/>
  <c r="I25" i="5"/>
  <c r="I24" i="5"/>
  <c r="C24" i="5"/>
  <c r="I23" i="5"/>
  <c r="I22" i="5"/>
  <c r="I21" i="5"/>
  <c r="I20" i="5"/>
  <c r="J15" i="5"/>
  <c r="C15" i="5"/>
  <c r="J14" i="5"/>
  <c r="D14" i="5"/>
  <c r="J13" i="5"/>
  <c r="D13" i="5"/>
  <c r="J12" i="5"/>
  <c r="J16" i="5" s="1"/>
  <c r="D12" i="5"/>
  <c r="J11" i="5"/>
  <c r="D11" i="5"/>
  <c r="D15" i="5" s="1"/>
  <c r="J10" i="5"/>
  <c r="J9" i="5"/>
  <c r="J8" i="5"/>
  <c r="B1" i="5"/>
  <c r="F103" i="2"/>
  <c r="F102" i="2"/>
  <c r="F101" i="2"/>
  <c r="F100" i="2"/>
  <c r="F99" i="2"/>
  <c r="F98" i="2"/>
  <c r="F97" i="2"/>
  <c r="F96" i="2"/>
  <c r="F95" i="2"/>
  <c r="F94" i="2"/>
  <c r="F93" i="2"/>
  <c r="F92" i="2"/>
  <c r="F91" i="2"/>
  <c r="F90" i="2"/>
  <c r="F89" i="2"/>
  <c r="F88" i="2"/>
  <c r="F87" i="2"/>
  <c r="F86" i="2"/>
  <c r="F85" i="2"/>
  <c r="F84" i="2"/>
  <c r="F83" i="2"/>
  <c r="F82" i="2"/>
  <c r="F81" i="2"/>
  <c r="F80" i="2"/>
  <c r="F79" i="2"/>
  <c r="F78" i="2"/>
  <c r="F77" i="2"/>
  <c r="F76" i="2"/>
  <c r="F75" i="2"/>
  <c r="F74" i="2"/>
  <c r="F73" i="2"/>
  <c r="F72" i="2"/>
  <c r="F71" i="2"/>
  <c r="F70" i="2"/>
  <c r="F69" i="2"/>
  <c r="F68" i="2"/>
  <c r="F67" i="2"/>
  <c r="F66" i="2"/>
  <c r="F65" i="2"/>
  <c r="F64" i="2"/>
  <c r="F63" i="2"/>
  <c r="F62" i="2"/>
  <c r="F61" i="2"/>
  <c r="F60" i="2"/>
  <c r="F59" i="2"/>
  <c r="F58" i="2"/>
  <c r="F57" i="2"/>
  <c r="F56" i="2"/>
  <c r="F55" i="2"/>
  <c r="F54" i="2"/>
  <c r="F53" i="2"/>
  <c r="F52" i="2"/>
  <c r="F51" i="2"/>
  <c r="F50" i="2"/>
  <c r="F49" i="2"/>
  <c r="F48" i="2"/>
  <c r="F47" i="2"/>
  <c r="F46" i="2"/>
  <c r="F45" i="2"/>
  <c r="F44" i="2"/>
  <c r="F43" i="2"/>
  <c r="F42" i="2"/>
  <c r="F41" i="2"/>
  <c r="F40" i="2"/>
  <c r="F38" i="2"/>
  <c r="F37" i="2"/>
  <c r="F36" i="2"/>
  <c r="F35" i="2"/>
  <c r="F34" i="2"/>
  <c r="F33" i="2"/>
  <c r="J32" i="2"/>
  <c r="F32" i="2"/>
  <c r="F31" i="2"/>
  <c r="F30" i="2"/>
  <c r="J29" i="2"/>
  <c r="F29" i="2"/>
  <c r="I25" i="2"/>
  <c r="I24" i="2"/>
  <c r="C24" i="2"/>
  <c r="I23" i="2"/>
  <c r="I22" i="2"/>
  <c r="I21" i="2"/>
  <c r="I20" i="2"/>
  <c r="J15" i="2"/>
  <c r="C15" i="2"/>
  <c r="J14" i="2"/>
  <c r="D14" i="2"/>
  <c r="J13" i="2"/>
  <c r="D13" i="2"/>
  <c r="J12" i="2"/>
  <c r="D12" i="2"/>
  <c r="J11" i="2"/>
  <c r="D11" i="2"/>
  <c r="J10" i="2"/>
  <c r="J9" i="2"/>
  <c r="J8" i="2"/>
  <c r="B1" i="2"/>
  <c r="K25" i="5" l="1"/>
  <c r="J31" i="5"/>
  <c r="K20" i="5"/>
  <c r="J30" i="5"/>
  <c r="K23" i="5"/>
  <c r="K22" i="5"/>
  <c r="K21" i="5"/>
  <c r="K24" i="5"/>
  <c r="J16" i="2"/>
  <c r="D15" i="2"/>
  <c r="K23" i="2" s="1"/>
  <c r="K24" i="2" l="1"/>
  <c r="K25" i="2"/>
  <c r="K20" i="2"/>
  <c r="K22" i="2"/>
  <c r="K21" i="2"/>
  <c r="J30" i="2"/>
  <c r="J31" i="2"/>
  <c r="J33" i="2" s="1"/>
  <c r="J34" i="2" s="1"/>
</calcChain>
</file>

<file path=xl/sharedStrings.xml><?xml version="1.0" encoding="utf-8"?>
<sst xmlns="http://schemas.openxmlformats.org/spreadsheetml/2006/main" count="138" uniqueCount="59">
  <si>
    <t>Salary</t>
  </si>
  <si>
    <t>Home Contribution</t>
  </si>
  <si>
    <t>Investment Target</t>
  </si>
  <si>
    <t>Emergency Fund Target</t>
  </si>
  <si>
    <t>Insurance</t>
  </si>
  <si>
    <t>Bucket</t>
  </si>
  <si>
    <t>Total</t>
  </si>
  <si>
    <t>Insurance — term + health</t>
  </si>
  <si>
    <t>Emergency Fund</t>
  </si>
  <si>
    <t>Investments</t>
  </si>
  <si>
    <t>Home/Family</t>
  </si>
  <si>
    <t>Essential expenses</t>
  </si>
  <si>
    <t>Unexpected expenses</t>
  </si>
  <si>
    <t>Lifestyle</t>
  </si>
  <si>
    <t>Buffer / future goals</t>
  </si>
  <si>
    <t>Idle Amount</t>
  </si>
  <si>
    <t>Reference Table</t>
  </si>
  <si>
    <t>Percentage</t>
  </si>
  <si>
    <t>Amount</t>
  </si>
  <si>
    <t>idle %</t>
  </si>
  <si>
    <t>How Do You Plan?</t>
  </si>
  <si>
    <t>Date</t>
  </si>
  <si>
    <t>Item</t>
  </si>
  <si>
    <t>Category</t>
  </si>
  <si>
    <t>Expenses Entry Table</t>
  </si>
  <si>
    <t>Category List</t>
  </si>
  <si>
    <t>Food</t>
  </si>
  <si>
    <t>Transport</t>
  </si>
  <si>
    <t>LifeStyle</t>
  </si>
  <si>
    <t>Unexpected</t>
  </si>
  <si>
    <t>Other</t>
  </si>
  <si>
    <t>Available for expense</t>
  </si>
  <si>
    <t>Remaining Expense Money</t>
  </si>
  <si>
    <t>Expense Tracker</t>
  </si>
  <si>
    <t>Bills</t>
  </si>
  <si>
    <t>Amount spent</t>
  </si>
  <si>
    <t>Expense Budget Used</t>
  </si>
  <si>
    <t>Status</t>
  </si>
  <si>
    <t>Month</t>
  </si>
  <si>
    <t>Month Progress</t>
  </si>
  <si>
    <t>Do</t>
  </si>
  <si>
    <t>Not</t>
  </si>
  <si>
    <t xml:space="preserve">Change </t>
  </si>
  <si>
    <t>This</t>
  </si>
  <si>
    <t>Shopping,Movie</t>
  </si>
  <si>
    <t>Repairs</t>
  </si>
  <si>
    <t>Food,Transport</t>
  </si>
  <si>
    <t>Small Saving</t>
  </si>
  <si>
    <t>Expenses</t>
  </si>
  <si>
    <t>Spending Pace</t>
  </si>
  <si>
    <t>Pace Status</t>
  </si>
  <si>
    <t xml:space="preserve">% of expense </t>
  </si>
  <si>
    <t>Planned Actions</t>
  </si>
  <si>
    <t xml:space="preserve">Checklist </t>
  </si>
  <si>
    <t>Done?</t>
  </si>
  <si>
    <t>Enter 1st date of the month in            dd-mm-yyyy format</t>
  </si>
  <si>
    <t>Password:</t>
  </si>
  <si>
    <t>template</t>
  </si>
  <si>
    <t>Total Expenses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</si>
</sst>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6" formatCode="&quot;₹&quot;\ #,##0;[Red]&quot;₹&quot;\ \-#,##0"/>
    <numFmt numFmtId="44" formatCode="_ &quot;₹&quot;\ * #,##0.00_ ;_ &quot;₹&quot;\ * \-#,##0.00_ ;_ &quot;₹&quot;\ * &quot;-&quot;??_ ;_ @_ "/>
    <numFmt numFmtId="43" formatCode="_ * #,##0.00_ ;_ * \-#,##0.00_ ;_ * &quot;-&quot;??_ ;_ @_ "/>
    <numFmt numFmtId="164" formatCode="_ [$₹-4009]\ * #,##0.00_ ;_ [$₹-4009]\ * \-#,##0.00_ ;_ [$₹-4009]\ * &quot;-&quot;??_ ;_ @_ "/>
    <numFmt numFmtId="165" formatCode="dd/mmm/yyyy"/>
    <numFmt numFmtId="166" formatCode="mmmm\ yyyy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b/>
      <sz val="11"/>
      <color theme="0"/>
      <name val="Times New Roman"/>
      <family val="1"/>
    </font>
    <font>
      <b/>
      <u/>
      <sz val="36"/>
      <color theme="1"/>
      <name val="Times New Roman"/>
      <family val="1"/>
    </font>
    <font>
      <sz val="11"/>
      <color theme="0"/>
      <name val="Times New Roman"/>
      <family val="1"/>
    </font>
    <font>
      <i/>
      <sz val="8"/>
      <color theme="1"/>
      <name val="Times New Roman"/>
      <family val="1"/>
    </font>
  </fonts>
  <fills count="1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A3DBFF"/>
        <bgColor indexed="64"/>
      </patternFill>
    </fill>
    <fill>
      <patternFill patternType="solid">
        <fgColor rgb="FFDC3939"/>
        <bgColor indexed="64"/>
      </patternFill>
    </fill>
    <fill>
      <patternFill patternType="solid">
        <fgColor rgb="FFC189F7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2060"/>
        <bgColor indexed="64"/>
      </patternFill>
    </fill>
  </fills>
  <borders count="3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02">
    <xf numFmtId="0" fontId="0" fillId="0" borderId="0" xfId="0"/>
    <xf numFmtId="9" fontId="2" fillId="0" borderId="1" xfId="0" applyNumberFormat="1" applyFont="1" applyBorder="1" applyAlignment="1">
      <alignment vertical="center" wrapText="1"/>
    </xf>
    <xf numFmtId="0" fontId="2" fillId="0" borderId="6" xfId="0" applyFont="1" applyBorder="1" applyAlignment="1">
      <alignment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0" fontId="2" fillId="0" borderId="17" xfId="0" applyFont="1" applyBorder="1" applyAlignment="1">
      <alignment vertical="center" wrapText="1"/>
    </xf>
    <xf numFmtId="9" fontId="2" fillId="0" borderId="18" xfId="0" applyNumberFormat="1" applyFont="1" applyBorder="1" applyAlignment="1">
      <alignment vertical="center" wrapText="1"/>
    </xf>
    <xf numFmtId="0" fontId="2" fillId="0" borderId="20" xfId="0" applyFont="1" applyBorder="1" applyAlignment="1">
      <alignment vertical="center" wrapText="1"/>
    </xf>
    <xf numFmtId="9" fontId="2" fillId="2" borderId="21" xfId="0" applyNumberFormat="1" applyFont="1" applyFill="1" applyBorder="1" applyAlignment="1">
      <alignment vertical="center" wrapText="1"/>
    </xf>
    <xf numFmtId="0" fontId="3" fillId="0" borderId="6" xfId="0" applyFont="1" applyBorder="1" applyAlignment="1">
      <alignment vertical="center" wrapText="1"/>
    </xf>
    <xf numFmtId="0" fontId="3" fillId="0" borderId="8" xfId="0" applyFont="1" applyBorder="1" applyAlignment="1">
      <alignment vertical="center" wrapText="1"/>
    </xf>
    <xf numFmtId="0" fontId="2" fillId="8" borderId="20" xfId="0" applyFont="1" applyFill="1" applyBorder="1" applyAlignment="1">
      <alignment horizontal="center" vertical="center" wrapText="1"/>
    </xf>
    <xf numFmtId="0" fontId="3" fillId="0" borderId="23" xfId="0" applyFont="1" applyBorder="1" applyAlignment="1">
      <alignment vertical="center" wrapText="1"/>
    </xf>
    <xf numFmtId="0" fontId="4" fillId="4" borderId="0" xfId="0" applyFont="1" applyFill="1"/>
    <xf numFmtId="0" fontId="3" fillId="0" borderId="0" xfId="0" applyFont="1"/>
    <xf numFmtId="0" fontId="4" fillId="0" borderId="0" xfId="0" applyFont="1"/>
    <xf numFmtId="0" fontId="2" fillId="0" borderId="5" xfId="0" applyFont="1" applyBorder="1" applyAlignment="1">
      <alignment horizontal="center"/>
    </xf>
    <xf numFmtId="0" fontId="2" fillId="0" borderId="0" xfId="0" applyFont="1" applyAlignment="1">
      <alignment horizontal="center" vertical="center" wrapText="1"/>
    </xf>
    <xf numFmtId="0" fontId="2" fillId="0" borderId="13" xfId="0" applyFont="1" applyBorder="1"/>
    <xf numFmtId="0" fontId="2" fillId="0" borderId="27" xfId="0" applyFont="1" applyBorder="1" applyAlignment="1">
      <alignment horizontal="center"/>
    </xf>
    <xf numFmtId="6" fontId="2" fillId="0" borderId="0" xfId="0" applyNumberFormat="1" applyFont="1" applyAlignment="1">
      <alignment vertical="center" wrapText="1"/>
    </xf>
    <xf numFmtId="164" fontId="2" fillId="0" borderId="7" xfId="0" applyNumberFormat="1" applyFont="1" applyBorder="1"/>
    <xf numFmtId="0" fontId="2" fillId="0" borderId="23" xfId="0" applyFont="1" applyBorder="1" applyAlignment="1">
      <alignment horizontal="center"/>
    </xf>
    <xf numFmtId="0" fontId="2" fillId="0" borderId="24" xfId="0" applyFont="1" applyBorder="1" applyAlignment="1">
      <alignment horizontal="center"/>
    </xf>
    <xf numFmtId="0" fontId="2" fillId="0" borderId="25" xfId="0" applyFont="1" applyBorder="1" applyAlignment="1">
      <alignment horizontal="center"/>
    </xf>
    <xf numFmtId="0" fontId="2" fillId="0" borderId="6" xfId="0" applyFont="1" applyBorder="1"/>
    <xf numFmtId="164" fontId="3" fillId="0" borderId="7" xfId="0" applyNumberFormat="1" applyFont="1" applyBorder="1"/>
    <xf numFmtId="0" fontId="2" fillId="0" borderId="8" xfId="0" applyFont="1" applyBorder="1"/>
    <xf numFmtId="0" fontId="3" fillId="3" borderId="9" xfId="0" applyFont="1" applyFill="1" applyBorder="1"/>
    <xf numFmtId="164" fontId="3" fillId="0" borderId="10" xfId="0" applyNumberFormat="1" applyFont="1" applyBorder="1"/>
    <xf numFmtId="164" fontId="2" fillId="0" borderId="19" xfId="0" applyNumberFormat="1" applyFont="1" applyBorder="1"/>
    <xf numFmtId="164" fontId="2" fillId="0" borderId="22" xfId="0" applyNumberFormat="1" applyFont="1" applyBorder="1"/>
    <xf numFmtId="0" fontId="2" fillId="0" borderId="11" xfId="0" applyFont="1" applyBorder="1" applyAlignment="1">
      <alignment horizontal="center"/>
    </xf>
    <xf numFmtId="0" fontId="2" fillId="0" borderId="13" xfId="0" applyFont="1" applyBorder="1" applyAlignment="1">
      <alignment horizontal="center"/>
    </xf>
    <xf numFmtId="0" fontId="2" fillId="8" borderId="22" xfId="0" applyFont="1" applyFill="1" applyBorder="1" applyAlignment="1">
      <alignment horizontal="center"/>
    </xf>
    <xf numFmtId="0" fontId="2" fillId="0" borderId="7" xfId="0" applyFont="1" applyBorder="1"/>
    <xf numFmtId="0" fontId="2" fillId="0" borderId="0" xfId="0" applyFont="1"/>
    <xf numFmtId="9" fontId="3" fillId="0" borderId="25" xfId="3" applyFont="1" applyBorder="1"/>
    <xf numFmtId="164" fontId="7" fillId="0" borderId="0" xfId="2" applyNumberFormat="1" applyFont="1" applyFill="1" applyBorder="1"/>
    <xf numFmtId="164" fontId="3" fillId="0" borderId="0" xfId="0" applyNumberFormat="1" applyFont="1"/>
    <xf numFmtId="9" fontId="3" fillId="0" borderId="13" xfId="3" applyFont="1" applyBorder="1"/>
    <xf numFmtId="0" fontId="2" fillId="0" borderId="17" xfId="0" applyFont="1" applyBorder="1"/>
    <xf numFmtId="164" fontId="3" fillId="0" borderId="19" xfId="0" applyNumberFormat="1" applyFont="1" applyBorder="1"/>
    <xf numFmtId="0" fontId="2" fillId="0" borderId="20" xfId="0" applyFont="1" applyBorder="1"/>
    <xf numFmtId="9" fontId="3" fillId="0" borderId="22" xfId="0" applyNumberFormat="1" applyFont="1" applyBorder="1"/>
    <xf numFmtId="9" fontId="3" fillId="0" borderId="31" xfId="3" applyFont="1" applyBorder="1"/>
    <xf numFmtId="0" fontId="2" fillId="0" borderId="28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29" xfId="0" applyFont="1" applyBorder="1" applyAlignment="1">
      <alignment horizontal="center"/>
    </xf>
    <xf numFmtId="0" fontId="2" fillId="0" borderId="30" xfId="0" applyFont="1" applyBorder="1"/>
    <xf numFmtId="6" fontId="3" fillId="0" borderId="0" xfId="0" applyNumberFormat="1" applyFont="1"/>
    <xf numFmtId="15" fontId="3" fillId="0" borderId="23" xfId="0" applyNumberFormat="1" applyFont="1" applyBorder="1" applyAlignment="1" applyProtection="1">
      <alignment vertical="center" wrapText="1"/>
      <protection locked="0"/>
    </xf>
    <xf numFmtId="0" fontId="3" fillId="0" borderId="24" xfId="0" applyFont="1" applyBorder="1" applyAlignment="1" applyProtection="1">
      <alignment vertical="center" wrapText="1"/>
      <protection locked="0"/>
    </xf>
    <xf numFmtId="6" fontId="3" fillId="0" borderId="24" xfId="0" applyNumberFormat="1" applyFont="1" applyBorder="1" applyAlignment="1" applyProtection="1">
      <alignment vertical="center" wrapText="1"/>
      <protection locked="0"/>
    </xf>
    <xf numFmtId="15" fontId="3" fillId="0" borderId="6" xfId="0" applyNumberFormat="1" applyFont="1" applyBorder="1" applyAlignment="1" applyProtection="1">
      <alignment vertical="center" wrapText="1"/>
      <protection locked="0"/>
    </xf>
    <xf numFmtId="0" fontId="3" fillId="0" borderId="1" xfId="0" applyFont="1" applyBorder="1" applyAlignment="1" applyProtection="1">
      <alignment vertical="center" wrapText="1"/>
      <protection locked="0"/>
    </xf>
    <xf numFmtId="6" fontId="3" fillId="0" borderId="1" xfId="0" applyNumberFormat="1" applyFont="1" applyBorder="1" applyAlignment="1" applyProtection="1">
      <alignment vertical="center" wrapText="1"/>
      <protection locked="0"/>
    </xf>
    <xf numFmtId="0" fontId="3" fillId="0" borderId="1" xfId="0" applyFont="1" applyBorder="1" applyAlignment="1" applyProtection="1">
      <alignment horizontal="center"/>
      <protection locked="0"/>
    </xf>
    <xf numFmtId="44" fontId="3" fillId="0" borderId="1" xfId="2" applyFont="1" applyBorder="1" applyAlignment="1" applyProtection="1">
      <alignment horizontal="center"/>
      <protection locked="0"/>
    </xf>
    <xf numFmtId="165" fontId="3" fillId="0" borderId="6" xfId="0" applyNumberFormat="1" applyFont="1" applyBorder="1" applyAlignment="1" applyProtection="1">
      <alignment horizontal="center"/>
      <protection locked="0"/>
    </xf>
    <xf numFmtId="165" fontId="3" fillId="0" borderId="8" xfId="0" applyNumberFormat="1" applyFont="1" applyBorder="1" applyAlignment="1" applyProtection="1">
      <alignment horizontal="center"/>
      <protection locked="0"/>
    </xf>
    <xf numFmtId="0" fontId="3" fillId="0" borderId="9" xfId="0" applyFont="1" applyBorder="1" applyAlignment="1" applyProtection="1">
      <alignment horizontal="center"/>
      <protection locked="0"/>
    </xf>
    <xf numFmtId="44" fontId="3" fillId="0" borderId="9" xfId="2" applyFont="1" applyBorder="1" applyAlignment="1" applyProtection="1">
      <alignment horizontal="center"/>
      <protection locked="0"/>
    </xf>
    <xf numFmtId="0" fontId="3" fillId="2" borderId="1" xfId="0" applyFont="1" applyFill="1" applyBorder="1" applyProtection="1">
      <protection locked="0"/>
    </xf>
    <xf numFmtId="164" fontId="3" fillId="2" borderId="27" xfId="1" applyNumberFormat="1" applyFont="1" applyFill="1" applyBorder="1" applyProtection="1">
      <protection locked="0"/>
    </xf>
    <xf numFmtId="14" fontId="2" fillId="0" borderId="16" xfId="0" applyNumberFormat="1" applyFont="1" applyBorder="1" applyProtection="1">
      <protection locked="0"/>
    </xf>
    <xf numFmtId="0" fontId="3" fillId="0" borderId="0" xfId="0" applyFont="1" applyProtection="1">
      <protection locked="0"/>
    </xf>
    <xf numFmtId="0" fontId="3" fillId="0" borderId="25" xfId="0" applyFont="1" applyBorder="1" applyAlignment="1">
      <alignment horizontal="center" wrapText="1"/>
    </xf>
    <xf numFmtId="0" fontId="3" fillId="0" borderId="7" xfId="0" applyFont="1" applyBorder="1" applyAlignment="1">
      <alignment horizontal="center" wrapText="1"/>
    </xf>
    <xf numFmtId="0" fontId="3" fillId="0" borderId="10" xfId="0" applyFont="1" applyBorder="1" applyAlignment="1">
      <alignment horizontal="center" wrapText="1"/>
    </xf>
    <xf numFmtId="0" fontId="4" fillId="9" borderId="14" xfId="0" applyFont="1" applyFill="1" applyBorder="1" applyAlignment="1">
      <alignment horizontal="center"/>
    </xf>
    <xf numFmtId="0" fontId="6" fillId="9" borderId="16" xfId="0" applyFont="1" applyFill="1" applyBorder="1" applyAlignment="1">
      <alignment horizontal="center"/>
    </xf>
    <xf numFmtId="166" fontId="5" fillId="2" borderId="0" xfId="0" applyNumberFormat="1" applyFont="1" applyFill="1" applyAlignment="1">
      <alignment horizontal="center"/>
    </xf>
    <xf numFmtId="0" fontId="4" fillId="7" borderId="14" xfId="0" applyFont="1" applyFill="1" applyBorder="1" applyAlignment="1">
      <alignment horizontal="center"/>
    </xf>
    <xf numFmtId="0" fontId="4" fillId="7" borderId="15" xfId="0" applyFont="1" applyFill="1" applyBorder="1" applyAlignment="1">
      <alignment horizontal="center"/>
    </xf>
    <xf numFmtId="0" fontId="4" fillId="7" borderId="16" xfId="0" applyFont="1" applyFill="1" applyBorder="1" applyAlignment="1">
      <alignment horizontal="center"/>
    </xf>
    <xf numFmtId="0" fontId="3" fillId="0" borderId="26" xfId="0" applyFont="1" applyBorder="1" applyAlignment="1">
      <alignment horizontal="center" wrapText="1"/>
    </xf>
    <xf numFmtId="0" fontId="3" fillId="0" borderId="0" xfId="0" applyFont="1" applyAlignment="1">
      <alignment horizontal="center" wrapText="1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3" fillId="0" borderId="0" xfId="0" applyFont="1" applyAlignment="1">
      <alignment horizontal="center" vertical="center" textRotation="45" wrapText="1"/>
    </xf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164" fontId="3" fillId="0" borderId="1" xfId="0" applyNumberFormat="1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2" fillId="8" borderId="21" xfId="0" applyFont="1" applyFill="1" applyBorder="1" applyAlignment="1">
      <alignment horizontal="center" vertical="center"/>
    </xf>
    <xf numFmtId="0" fontId="3" fillId="8" borderId="21" xfId="0" applyFont="1" applyFill="1" applyBorder="1" applyAlignment="1">
      <alignment horizontal="center" vertical="center"/>
    </xf>
    <xf numFmtId="44" fontId="3" fillId="0" borderId="24" xfId="2" applyFont="1" applyBorder="1" applyAlignment="1">
      <alignment horizontal="center"/>
    </xf>
    <xf numFmtId="44" fontId="3" fillId="0" borderId="1" xfId="2" applyFont="1" applyBorder="1" applyAlignment="1">
      <alignment horizontal="center"/>
    </xf>
    <xf numFmtId="44" fontId="3" fillId="0" borderId="9" xfId="2" applyFont="1" applyBorder="1" applyAlignment="1">
      <alignment horizontal="center"/>
    </xf>
    <xf numFmtId="0" fontId="4" fillId="6" borderId="14" xfId="0" applyFont="1" applyFill="1" applyBorder="1" applyAlignment="1">
      <alignment horizontal="center"/>
    </xf>
    <xf numFmtId="0" fontId="4" fillId="6" borderId="15" xfId="0" applyFont="1" applyFill="1" applyBorder="1" applyAlignment="1">
      <alignment horizontal="center"/>
    </xf>
    <xf numFmtId="0" fontId="4" fillId="6" borderId="16" xfId="0" applyFont="1" applyFill="1" applyBorder="1" applyAlignment="1">
      <alignment horizontal="center"/>
    </xf>
    <xf numFmtId="0" fontId="2" fillId="5" borderId="1" xfId="0" applyFont="1" applyFill="1" applyBorder="1" applyAlignment="1">
      <alignment horizontal="center"/>
    </xf>
    <xf numFmtId="0" fontId="3" fillId="5" borderId="1" xfId="0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10" fontId="3" fillId="0" borderId="1" xfId="3" applyNumberFormat="1" applyFont="1" applyBorder="1" applyAlignment="1">
      <alignment horizontal="right"/>
    </xf>
    <xf numFmtId="0" fontId="2" fillId="0" borderId="2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10" fontId="3" fillId="0" borderId="2" xfId="3" applyNumberFormat="1" applyFont="1" applyBorder="1" applyAlignment="1">
      <alignment horizontal="right"/>
    </xf>
    <xf numFmtId="10" fontId="3" fillId="0" borderId="3" xfId="3" applyNumberFormat="1" applyFont="1" applyBorder="1" applyAlignment="1">
      <alignment horizontal="right"/>
    </xf>
    <xf numFmtId="2" fontId="3" fillId="0" borderId="1" xfId="3" applyNumberFormat="1" applyFont="1" applyBorder="1" applyAlignment="1">
      <alignment horizontal="right"/>
    </xf>
  </cellXfs>
  <cellStyles count="4">
    <cellStyle name="Comma" xfId="1" builtinId="3"/>
    <cellStyle name="Currency" xfId="2" builtinId="4"/>
    <cellStyle name="Normal" xfId="0" builtinId="0"/>
    <cellStyle name="Percent" xfId="3" builtinId="5"/>
  </cellStyles>
  <dxfs count="16">
    <dxf>
      <font>
        <color theme="0"/>
      </font>
      <fill>
        <patternFill>
          <bgColor rgb="FF00B050"/>
        </patternFill>
      </fill>
    </dxf>
    <dxf>
      <font>
        <color theme="1"/>
      </font>
      <fill>
        <patternFill>
          <bgColor rgb="FFFFFF00"/>
        </patternFill>
      </fill>
    </dxf>
    <dxf>
      <font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8C71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1"/>
      </font>
      <fill>
        <patternFill>
          <bgColor rgb="FFFFFF00"/>
        </patternFill>
      </fill>
    </dxf>
    <dxf>
      <font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8C71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  <color theme="0"/>
      </font>
      <fill>
        <patternFill>
          <bgColor theme="9" tint="-0.499984740745262"/>
        </patternFill>
      </fill>
    </dxf>
  </dxfs>
  <tableStyles count="0" defaultTableStyle="TableStyleMedium2" defaultPivotStyle="PivotStyleLight16"/>
  <colors>
    <mruColors>
      <color rgb="FFFF8C7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trlProps/ctrlProp1.xml><?xml version="1.0" encoding="utf-8"?>
<formControlPr xmlns="http://schemas.microsoft.com/office/spreadsheetml/2009/9/main" objectType="CheckBox" fmlaLink="$O$6" lockText="1" noThreeD="1"/>
</file>

<file path=xl/ctrlProps/ctrlProp2.xml><?xml version="1.0" encoding="utf-8"?>
<formControlPr xmlns="http://schemas.microsoft.com/office/spreadsheetml/2009/9/main" objectType="CheckBox" fmlaLink="$O$7" lockText="1" noThreeD="1"/>
</file>

<file path=xl/ctrlProps/ctrlProp3.xml><?xml version="1.0" encoding="utf-8"?>
<formControlPr xmlns="http://schemas.microsoft.com/office/spreadsheetml/2009/9/main" objectType="CheckBox" fmlaLink="$O$8" lockText="1" noThreeD="1"/>
</file>

<file path=xl/ctrlProps/ctrlProp4.xml><?xml version="1.0" encoding="utf-8"?>
<formControlPr xmlns="http://schemas.microsoft.com/office/spreadsheetml/2009/9/main" objectType="CheckBox" fmlaLink="$O$9" lockText="1" noThreeD="1"/>
</file>

<file path=xl/ctrlProps/ctrlProp5.xml><?xml version="1.0" encoding="utf-8"?>
<formControlPr xmlns="http://schemas.microsoft.com/office/spreadsheetml/2009/9/main" objectType="CheckBox" fmlaLink="$O$6" lockText="1" noThreeD="1"/>
</file>

<file path=xl/ctrlProps/ctrlProp6.xml><?xml version="1.0" encoding="utf-8"?>
<formControlPr xmlns="http://schemas.microsoft.com/office/spreadsheetml/2009/9/main" objectType="CheckBox" fmlaLink="$O$7" lockText="1" noThreeD="1"/>
</file>

<file path=xl/ctrlProps/ctrlProp7.xml><?xml version="1.0" encoding="utf-8"?>
<formControlPr xmlns="http://schemas.microsoft.com/office/spreadsheetml/2009/9/main" objectType="CheckBox" fmlaLink="$O$8" lockText="1" noThreeD="1"/>
</file>

<file path=xl/ctrlProps/ctrlProp8.xml><?xml version="1.0" encoding="utf-8"?>
<formControlPr xmlns="http://schemas.microsoft.com/office/spreadsheetml/2009/9/main" objectType="CheckBox" fmlaLink="$O$9" lockText="1" noThreeD="1"/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absolute">
        <xdr:from>
          <xdr:col>2</xdr:col>
          <xdr:colOff>830580</xdr:colOff>
          <xdr:row>19</xdr:row>
          <xdr:rowOff>15240</xdr:rowOff>
        </xdr:from>
        <xdr:to>
          <xdr:col>2</xdr:col>
          <xdr:colOff>1013460</xdr:colOff>
          <xdr:row>19</xdr:row>
          <xdr:rowOff>228600</xdr:rowOff>
        </xdr:to>
        <xdr:sp macro="" textlink="">
          <xdr:nvSpPr>
            <xdr:cNvPr id="2049" name="Check Box 1" hidden="1">
              <a:extLst>
                <a:ext uri="{63B3BB69-23CF-44E3-9099-C40C66FF867C}">
                  <a14:compatExt spid="_x0000_s2049"/>
                </a:ext>
                <a:ext uri="{FF2B5EF4-FFF2-40B4-BE49-F238E27FC236}">
                  <a16:creationId xmlns:a16="http://schemas.microsoft.com/office/drawing/2014/main" id="{00000000-0008-0000-0000-00000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absolute">
        <xdr:from>
          <xdr:col>2</xdr:col>
          <xdr:colOff>830580</xdr:colOff>
          <xdr:row>20</xdr:row>
          <xdr:rowOff>7620</xdr:rowOff>
        </xdr:from>
        <xdr:to>
          <xdr:col>2</xdr:col>
          <xdr:colOff>1021080</xdr:colOff>
          <xdr:row>20</xdr:row>
          <xdr:rowOff>236220</xdr:rowOff>
        </xdr:to>
        <xdr:sp macro="" textlink="">
          <xdr:nvSpPr>
            <xdr:cNvPr id="2050" name="Check Box 2" hidden="1">
              <a:extLst>
                <a:ext uri="{63B3BB69-23CF-44E3-9099-C40C66FF867C}">
                  <a14:compatExt spid="_x0000_s2050"/>
                </a:ext>
                <a:ext uri="{FF2B5EF4-FFF2-40B4-BE49-F238E27FC236}">
                  <a16:creationId xmlns:a16="http://schemas.microsoft.com/office/drawing/2014/main" id="{00000000-0008-0000-0000-00000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absolute">
        <xdr:from>
          <xdr:col>2</xdr:col>
          <xdr:colOff>830580</xdr:colOff>
          <xdr:row>21</xdr:row>
          <xdr:rowOff>22860</xdr:rowOff>
        </xdr:from>
        <xdr:to>
          <xdr:col>2</xdr:col>
          <xdr:colOff>1013460</xdr:colOff>
          <xdr:row>21</xdr:row>
          <xdr:rowOff>243840</xdr:rowOff>
        </xdr:to>
        <xdr:sp macro="" textlink="">
          <xdr:nvSpPr>
            <xdr:cNvPr id="2051" name="Check Box 3" hidden="1">
              <a:extLst>
                <a:ext uri="{63B3BB69-23CF-44E3-9099-C40C66FF867C}">
                  <a14:compatExt spid="_x0000_s2051"/>
                </a:ext>
                <a:ext uri="{FF2B5EF4-FFF2-40B4-BE49-F238E27FC236}">
                  <a16:creationId xmlns:a16="http://schemas.microsoft.com/office/drawing/2014/main" id="{00000000-0008-0000-0000-00000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absolute">
        <xdr:from>
          <xdr:col>2</xdr:col>
          <xdr:colOff>830580</xdr:colOff>
          <xdr:row>22</xdr:row>
          <xdr:rowOff>22860</xdr:rowOff>
        </xdr:from>
        <xdr:to>
          <xdr:col>2</xdr:col>
          <xdr:colOff>1013460</xdr:colOff>
          <xdr:row>22</xdr:row>
          <xdr:rowOff>243840</xdr:rowOff>
        </xdr:to>
        <xdr:sp macro="" textlink="">
          <xdr:nvSpPr>
            <xdr:cNvPr id="2052" name="Check Box 4" hidden="1">
              <a:extLst>
                <a:ext uri="{63B3BB69-23CF-44E3-9099-C40C66FF867C}">
                  <a14:compatExt spid="_x0000_s2052"/>
                </a:ext>
                <a:ext uri="{FF2B5EF4-FFF2-40B4-BE49-F238E27FC236}">
                  <a16:creationId xmlns:a16="http://schemas.microsoft.com/office/drawing/2014/main" id="{00000000-0008-0000-0000-00000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absolute">
        <xdr:from>
          <xdr:col>2</xdr:col>
          <xdr:colOff>822960</xdr:colOff>
          <xdr:row>19</xdr:row>
          <xdr:rowOff>7620</xdr:rowOff>
        </xdr:from>
        <xdr:to>
          <xdr:col>2</xdr:col>
          <xdr:colOff>1013460</xdr:colOff>
          <xdr:row>19</xdr:row>
          <xdr:rowOff>236220</xdr:rowOff>
        </xdr:to>
        <xdr:sp macro="" textlink="">
          <xdr:nvSpPr>
            <xdr:cNvPr id="5121" name="Check Box 1" hidden="1">
              <a:extLst>
                <a:ext uri="{63B3BB69-23CF-44E3-9099-C40C66FF867C}">
                  <a14:compatExt spid="_x0000_s5121"/>
                </a:ext>
                <a:ext uri="{FF2B5EF4-FFF2-40B4-BE49-F238E27FC236}">
                  <a16:creationId xmlns:a16="http://schemas.microsoft.com/office/drawing/2014/main" id="{00000000-0008-0000-0100-000001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absolute">
        <xdr:from>
          <xdr:col>2</xdr:col>
          <xdr:colOff>822960</xdr:colOff>
          <xdr:row>20</xdr:row>
          <xdr:rowOff>7620</xdr:rowOff>
        </xdr:from>
        <xdr:to>
          <xdr:col>2</xdr:col>
          <xdr:colOff>1013460</xdr:colOff>
          <xdr:row>20</xdr:row>
          <xdr:rowOff>236220</xdr:rowOff>
        </xdr:to>
        <xdr:sp macro="" textlink="">
          <xdr:nvSpPr>
            <xdr:cNvPr id="5122" name="Check Box 2" hidden="1">
              <a:extLst>
                <a:ext uri="{63B3BB69-23CF-44E3-9099-C40C66FF867C}">
                  <a14:compatExt spid="_x0000_s5122"/>
                </a:ext>
                <a:ext uri="{FF2B5EF4-FFF2-40B4-BE49-F238E27FC236}">
                  <a16:creationId xmlns:a16="http://schemas.microsoft.com/office/drawing/2014/main" id="{00000000-0008-0000-0100-000002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absolute">
        <xdr:from>
          <xdr:col>2</xdr:col>
          <xdr:colOff>822960</xdr:colOff>
          <xdr:row>21</xdr:row>
          <xdr:rowOff>22860</xdr:rowOff>
        </xdr:from>
        <xdr:to>
          <xdr:col>2</xdr:col>
          <xdr:colOff>1013460</xdr:colOff>
          <xdr:row>21</xdr:row>
          <xdr:rowOff>243840</xdr:rowOff>
        </xdr:to>
        <xdr:sp macro="" textlink="">
          <xdr:nvSpPr>
            <xdr:cNvPr id="5123" name="Check Box 3" hidden="1">
              <a:extLst>
                <a:ext uri="{63B3BB69-23CF-44E3-9099-C40C66FF867C}">
                  <a14:compatExt spid="_x0000_s5123"/>
                </a:ext>
                <a:ext uri="{FF2B5EF4-FFF2-40B4-BE49-F238E27FC236}">
                  <a16:creationId xmlns:a16="http://schemas.microsoft.com/office/drawing/2014/main" id="{00000000-0008-0000-0100-000003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absolute">
        <xdr:from>
          <xdr:col>2</xdr:col>
          <xdr:colOff>822960</xdr:colOff>
          <xdr:row>22</xdr:row>
          <xdr:rowOff>22860</xdr:rowOff>
        </xdr:from>
        <xdr:to>
          <xdr:col>2</xdr:col>
          <xdr:colOff>1013460</xdr:colOff>
          <xdr:row>22</xdr:row>
          <xdr:rowOff>243840</xdr:rowOff>
        </xdr:to>
        <xdr:sp macro="" textlink="">
          <xdr:nvSpPr>
            <xdr:cNvPr id="5124" name="Check Box 4" hidden="1">
              <a:extLst>
                <a:ext uri="{63B3BB69-23CF-44E3-9099-C40C66FF867C}">
                  <a14:compatExt spid="_x0000_s5124"/>
                </a:ext>
                <a:ext uri="{FF2B5EF4-FFF2-40B4-BE49-F238E27FC236}">
                  <a16:creationId xmlns:a16="http://schemas.microsoft.com/office/drawing/2014/main" id="{00000000-0008-0000-0100-000004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7" Type="http://schemas.openxmlformats.org/officeDocument/2006/relationships/ctrlProp" Target="../ctrlProps/ctrlProp4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3.xml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7" Type="http://schemas.openxmlformats.org/officeDocument/2006/relationships/ctrlProp" Target="../ctrlProps/ctrlProp8.x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6" Type="http://schemas.openxmlformats.org/officeDocument/2006/relationships/ctrlProp" Target="../ctrlProps/ctrlProp7.xml"/><Relationship Id="rId5" Type="http://schemas.openxmlformats.org/officeDocument/2006/relationships/ctrlProp" Target="../ctrlProps/ctrlProp6.xml"/><Relationship Id="rId4" Type="http://schemas.openxmlformats.org/officeDocument/2006/relationships/ctrlProp" Target="../ctrlProps/ctrlProp5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35174F-02FB-4112-BF29-4D61181E2C9B}">
  <dimension ref="A1:R103"/>
  <sheetViews>
    <sheetView tabSelected="1" topLeftCell="A5" zoomScale="72" zoomScaleNormal="190" workbookViewId="0">
      <selection activeCell="B31" sqref="B31"/>
    </sheetView>
  </sheetViews>
  <sheetFormatPr defaultRowHeight="19.95" customHeight="1" x14ac:dyDescent="0.25"/>
  <cols>
    <col min="1" max="1" width="8.88671875" style="14"/>
    <col min="2" max="2" width="22.109375" style="14" bestFit="1" customWidth="1"/>
    <col min="3" max="3" width="21.109375" style="14" bestFit="1" customWidth="1"/>
    <col min="4" max="4" width="13.88671875" style="14" customWidth="1"/>
    <col min="5" max="5" width="17.5546875" style="14" bestFit="1" customWidth="1"/>
    <col min="6" max="6" width="8.88671875" style="14"/>
    <col min="7" max="7" width="12" style="14" customWidth="1"/>
    <col min="8" max="8" width="25.6640625" style="14" customWidth="1"/>
    <col min="9" max="9" width="7.109375" style="14" bestFit="1" customWidth="1"/>
    <col min="10" max="10" width="14.33203125" style="14" bestFit="1" customWidth="1"/>
    <col min="11" max="11" width="18" style="14" bestFit="1" customWidth="1"/>
    <col min="12" max="12" width="14.21875" style="14" bestFit="1" customWidth="1"/>
    <col min="13" max="14" width="8.88671875" style="14"/>
    <col min="15" max="15" width="7" style="14" hidden="1" customWidth="1"/>
    <col min="16" max="16384" width="8.88671875" style="14"/>
  </cols>
  <sheetData>
    <row r="1" spans="1:18" ht="19.95" customHeight="1" x14ac:dyDescent="0.25">
      <c r="A1" s="13" t="s">
        <v>40</v>
      </c>
      <c r="B1" s="72">
        <f>C7</f>
        <v>0</v>
      </c>
      <c r="C1" s="72"/>
      <c r="D1" s="72"/>
      <c r="E1" s="72"/>
      <c r="F1" s="72"/>
      <c r="G1" s="72"/>
      <c r="H1" s="72"/>
      <c r="I1" s="72"/>
      <c r="J1" s="72"/>
      <c r="K1" s="72"/>
      <c r="L1" s="72"/>
      <c r="M1" s="72"/>
      <c r="N1" s="72"/>
      <c r="O1" s="72"/>
      <c r="P1" s="72"/>
      <c r="Q1" s="13" t="s">
        <v>40</v>
      </c>
    </row>
    <row r="2" spans="1:18" ht="19.95" customHeight="1" x14ac:dyDescent="0.25">
      <c r="A2" s="13" t="s">
        <v>41</v>
      </c>
      <c r="B2" s="72"/>
      <c r="C2" s="72"/>
      <c r="D2" s="72"/>
      <c r="E2" s="72"/>
      <c r="F2" s="72"/>
      <c r="G2" s="72"/>
      <c r="H2" s="72"/>
      <c r="I2" s="72"/>
      <c r="J2" s="72"/>
      <c r="K2" s="72"/>
      <c r="L2" s="72"/>
      <c r="M2" s="72"/>
      <c r="N2" s="72"/>
      <c r="O2" s="72"/>
      <c r="P2" s="72"/>
      <c r="Q2" s="13" t="s">
        <v>41</v>
      </c>
    </row>
    <row r="3" spans="1:18" ht="19.95" customHeight="1" x14ac:dyDescent="0.25">
      <c r="A3" s="13" t="s">
        <v>42</v>
      </c>
      <c r="B3" s="72"/>
      <c r="C3" s="72"/>
      <c r="D3" s="72"/>
      <c r="E3" s="72"/>
      <c r="F3" s="72"/>
      <c r="G3" s="72"/>
      <c r="H3" s="72"/>
      <c r="I3" s="72"/>
      <c r="J3" s="72"/>
      <c r="K3" s="72"/>
      <c r="L3" s="72"/>
      <c r="M3" s="72"/>
      <c r="N3" s="72"/>
      <c r="O3" s="72"/>
      <c r="P3" s="72"/>
      <c r="Q3" s="13" t="s">
        <v>42</v>
      </c>
    </row>
    <row r="4" spans="1:18" ht="19.95" customHeight="1" x14ac:dyDescent="0.25">
      <c r="A4" s="13" t="s">
        <v>43</v>
      </c>
      <c r="B4" s="72"/>
      <c r="C4" s="72"/>
      <c r="D4" s="72"/>
      <c r="E4" s="72"/>
      <c r="F4" s="72"/>
      <c r="G4" s="72"/>
      <c r="H4" s="72"/>
      <c r="I4" s="72"/>
      <c r="J4" s="72"/>
      <c r="K4" s="72"/>
      <c r="L4" s="72"/>
      <c r="M4" s="72"/>
      <c r="N4" s="72"/>
      <c r="O4" s="72"/>
      <c r="P4" s="72"/>
      <c r="Q4" s="13" t="s">
        <v>43</v>
      </c>
    </row>
    <row r="5" spans="1:18" ht="19.95" customHeight="1" thickBot="1" x14ac:dyDescent="0.3">
      <c r="A5" s="15"/>
      <c r="Q5" s="15"/>
    </row>
    <row r="6" spans="1:18" ht="19.95" customHeight="1" thickBot="1" x14ac:dyDescent="0.3">
      <c r="H6" s="73" t="s">
        <v>16</v>
      </c>
      <c r="I6" s="74"/>
      <c r="J6" s="75"/>
      <c r="O6" s="66" t="b">
        <v>0</v>
      </c>
    </row>
    <row r="7" spans="1:18" ht="19.95" customHeight="1" thickBot="1" x14ac:dyDescent="0.3">
      <c r="B7" s="16" t="s">
        <v>38</v>
      </c>
      <c r="C7" s="65"/>
      <c r="D7" s="76" t="s">
        <v>55</v>
      </c>
      <c r="E7" s="77"/>
      <c r="F7" s="17"/>
      <c r="H7" s="3" t="s">
        <v>5</v>
      </c>
      <c r="I7" s="4" t="s">
        <v>19</v>
      </c>
      <c r="J7" s="18" t="s">
        <v>15</v>
      </c>
      <c r="O7" s="66" t="b">
        <v>0</v>
      </c>
      <c r="Q7" s="14" t="s">
        <v>56</v>
      </c>
      <c r="R7" s="14" t="s">
        <v>57</v>
      </c>
    </row>
    <row r="8" spans="1:18" ht="19.95" customHeight="1" thickBot="1" x14ac:dyDescent="0.3">
      <c r="B8" s="19" t="s">
        <v>0</v>
      </c>
      <c r="C8" s="64"/>
      <c r="D8" s="76"/>
      <c r="E8" s="77"/>
      <c r="F8" s="20"/>
      <c r="H8" s="2" t="s">
        <v>7</v>
      </c>
      <c r="I8" s="1">
        <v>0.05</v>
      </c>
      <c r="J8" s="21">
        <f>$C$8*I8</f>
        <v>0</v>
      </c>
      <c r="O8" s="66" t="b">
        <v>0</v>
      </c>
    </row>
    <row r="9" spans="1:18" ht="19.95" customHeight="1" thickBot="1" x14ac:dyDescent="0.3">
      <c r="B9" s="78" t="s">
        <v>20</v>
      </c>
      <c r="C9" s="79"/>
      <c r="D9" s="79"/>
      <c r="F9" s="20"/>
      <c r="H9" s="2" t="s">
        <v>8</v>
      </c>
      <c r="I9" s="1">
        <v>0.2</v>
      </c>
      <c r="J9" s="21">
        <f t="shared" ref="J9:J15" si="0">$C$8*I9</f>
        <v>0</v>
      </c>
      <c r="O9" s="66" t="b">
        <v>0</v>
      </c>
    </row>
    <row r="10" spans="1:18" ht="19.95" customHeight="1" x14ac:dyDescent="0.25">
      <c r="B10" s="22" t="s">
        <v>5</v>
      </c>
      <c r="C10" s="23" t="s">
        <v>17</v>
      </c>
      <c r="D10" s="24" t="s">
        <v>18</v>
      </c>
      <c r="F10" s="20"/>
      <c r="H10" s="2" t="s">
        <v>9</v>
      </c>
      <c r="I10" s="1">
        <v>0.25</v>
      </c>
      <c r="J10" s="21">
        <f t="shared" si="0"/>
        <v>0</v>
      </c>
    </row>
    <row r="11" spans="1:18" ht="19.95" customHeight="1" x14ac:dyDescent="0.25">
      <c r="B11" s="25" t="s">
        <v>1</v>
      </c>
      <c r="C11" s="63"/>
      <c r="D11" s="26">
        <f>$C$8*(C11/100)</f>
        <v>0</v>
      </c>
      <c r="F11" s="20"/>
      <c r="H11" s="2" t="s">
        <v>10</v>
      </c>
      <c r="I11" s="1">
        <v>0.15</v>
      </c>
      <c r="J11" s="21">
        <f t="shared" si="0"/>
        <v>0</v>
      </c>
    </row>
    <row r="12" spans="1:18" ht="19.95" customHeight="1" x14ac:dyDescent="0.25">
      <c r="B12" s="25" t="s">
        <v>2</v>
      </c>
      <c r="C12" s="63"/>
      <c r="D12" s="26">
        <f t="shared" ref="D12:D14" si="1">$C$8*(C12/100)</f>
        <v>0</v>
      </c>
      <c r="F12" s="20"/>
      <c r="H12" s="2" t="s">
        <v>11</v>
      </c>
      <c r="I12" s="1">
        <v>0.15</v>
      </c>
      <c r="J12" s="21">
        <f t="shared" si="0"/>
        <v>0</v>
      </c>
      <c r="L12" s="14" t="s">
        <v>46</v>
      </c>
      <c r="M12" s="80" t="s">
        <v>48</v>
      </c>
    </row>
    <row r="13" spans="1:18" ht="19.95" customHeight="1" x14ac:dyDescent="0.25">
      <c r="B13" s="25" t="s">
        <v>3</v>
      </c>
      <c r="C13" s="63"/>
      <c r="D13" s="26">
        <f t="shared" si="1"/>
        <v>0</v>
      </c>
      <c r="F13" s="20"/>
      <c r="H13" s="2" t="s">
        <v>13</v>
      </c>
      <c r="I13" s="1">
        <v>0.05</v>
      </c>
      <c r="J13" s="21">
        <f t="shared" si="0"/>
        <v>0</v>
      </c>
      <c r="L13" s="14" t="s">
        <v>44</v>
      </c>
      <c r="M13" s="80"/>
    </row>
    <row r="14" spans="1:18" ht="19.95" customHeight="1" x14ac:dyDescent="0.25">
      <c r="B14" s="25" t="s">
        <v>4</v>
      </c>
      <c r="C14" s="63"/>
      <c r="D14" s="26">
        <f t="shared" si="1"/>
        <v>0</v>
      </c>
      <c r="F14" s="20"/>
      <c r="H14" s="2" t="s">
        <v>12</v>
      </c>
      <c r="I14" s="1">
        <v>0.05</v>
      </c>
      <c r="J14" s="21">
        <f t="shared" si="0"/>
        <v>0</v>
      </c>
      <c r="L14" s="14" t="s">
        <v>45</v>
      </c>
      <c r="M14" s="80"/>
    </row>
    <row r="15" spans="1:18" ht="19.95" customHeight="1" thickBot="1" x14ac:dyDescent="0.3">
      <c r="B15" s="27" t="s">
        <v>31</v>
      </c>
      <c r="C15" s="28">
        <f>100-(SUM(C11:C14))</f>
        <v>100</v>
      </c>
      <c r="D15" s="29">
        <f>C8-(SUM(D11:D14))</f>
        <v>0</v>
      </c>
      <c r="F15" s="20"/>
      <c r="H15" s="5" t="s">
        <v>14</v>
      </c>
      <c r="I15" s="6">
        <v>0.1</v>
      </c>
      <c r="J15" s="30">
        <f t="shared" si="0"/>
        <v>0</v>
      </c>
      <c r="L15" s="14" t="s">
        <v>47</v>
      </c>
      <c r="M15" s="80"/>
    </row>
    <row r="16" spans="1:18" ht="19.95" customHeight="1" thickBot="1" x14ac:dyDescent="0.3">
      <c r="F16" s="20"/>
      <c r="H16" s="7" t="s">
        <v>6</v>
      </c>
      <c r="I16" s="8">
        <v>1</v>
      </c>
      <c r="J16" s="31">
        <f>SUM(J8:J15)</f>
        <v>0</v>
      </c>
    </row>
    <row r="17" spans="2:11" ht="19.95" customHeight="1" thickBot="1" x14ac:dyDescent="0.3"/>
    <row r="18" spans="2:11" ht="19.95" customHeight="1" thickBot="1" x14ac:dyDescent="0.3">
      <c r="B18" s="70" t="s">
        <v>53</v>
      </c>
      <c r="C18" s="71"/>
    </row>
    <row r="19" spans="2:11" ht="19.95" customHeight="1" thickBot="1" x14ac:dyDescent="0.3">
      <c r="B19" s="32" t="s">
        <v>52</v>
      </c>
      <c r="C19" s="33" t="s">
        <v>54</v>
      </c>
      <c r="H19" s="11" t="s">
        <v>25</v>
      </c>
      <c r="I19" s="85" t="s">
        <v>35</v>
      </c>
      <c r="J19" s="86"/>
      <c r="K19" s="34" t="s">
        <v>51</v>
      </c>
    </row>
    <row r="20" spans="2:11" ht="19.95" customHeight="1" x14ac:dyDescent="0.25">
      <c r="B20" s="25" t="s">
        <v>1</v>
      </c>
      <c r="C20" s="35"/>
      <c r="D20" s="36"/>
      <c r="E20" s="36"/>
      <c r="H20" s="12" t="s">
        <v>26</v>
      </c>
      <c r="I20" s="87">
        <f t="shared" ref="I20:I25" si="2">SUMIF($D$29:$D$103,H20,$E$29:$E$103)</f>
        <v>0</v>
      </c>
      <c r="J20" s="87"/>
      <c r="K20" s="37" t="str">
        <f>IF($D$15=0,"",I20/$D$15)</f>
        <v/>
      </c>
    </row>
    <row r="21" spans="2:11" ht="19.95" customHeight="1" x14ac:dyDescent="0.25">
      <c r="B21" s="25" t="s">
        <v>2</v>
      </c>
      <c r="C21" s="26"/>
      <c r="D21" s="38"/>
      <c r="E21" s="39"/>
      <c r="H21" s="9" t="s">
        <v>27</v>
      </c>
      <c r="I21" s="88">
        <f t="shared" si="2"/>
        <v>0</v>
      </c>
      <c r="J21" s="88"/>
      <c r="K21" s="40" t="str">
        <f t="shared" ref="K21:K25" si="3">IF($D$15=0,"",I21/$D$15)</f>
        <v/>
      </c>
    </row>
    <row r="22" spans="2:11" ht="19.95" customHeight="1" x14ac:dyDescent="0.25">
      <c r="B22" s="25" t="s">
        <v>3</v>
      </c>
      <c r="C22" s="26"/>
      <c r="D22" s="38"/>
      <c r="E22" s="39"/>
      <c r="H22" s="9" t="s">
        <v>34</v>
      </c>
      <c r="I22" s="88">
        <f t="shared" si="2"/>
        <v>0</v>
      </c>
      <c r="J22" s="88"/>
      <c r="K22" s="40" t="str">
        <f t="shared" si="3"/>
        <v/>
      </c>
    </row>
    <row r="23" spans="2:11" ht="19.95" customHeight="1" thickBot="1" x14ac:dyDescent="0.3">
      <c r="B23" s="41" t="s">
        <v>4</v>
      </c>
      <c r="C23" s="42"/>
      <c r="D23" s="38"/>
      <c r="E23" s="39"/>
      <c r="H23" s="9" t="s">
        <v>28</v>
      </c>
      <c r="I23" s="88">
        <f t="shared" si="2"/>
        <v>0</v>
      </c>
      <c r="J23" s="88"/>
      <c r="K23" s="40" t="str">
        <f t="shared" si="3"/>
        <v/>
      </c>
    </row>
    <row r="24" spans="2:11" ht="19.95" customHeight="1" thickBot="1" x14ac:dyDescent="0.3">
      <c r="B24" s="43" t="s">
        <v>37</v>
      </c>
      <c r="C24" s="44" t="str">
        <f>COUNTIF(O6:O9,TRUE)&amp;" / 4 completed ("&amp;TEXT(COUNTIF(O6:O9,TRUE)/4,"0%")&amp;")"</f>
        <v>0 / 4 completed (0%)</v>
      </c>
      <c r="D24" s="38"/>
      <c r="E24" s="39"/>
      <c r="H24" s="9" t="s">
        <v>29</v>
      </c>
      <c r="I24" s="88">
        <f t="shared" si="2"/>
        <v>0</v>
      </c>
      <c r="J24" s="88"/>
      <c r="K24" s="40" t="str">
        <f t="shared" si="3"/>
        <v/>
      </c>
    </row>
    <row r="25" spans="2:11" ht="19.95" customHeight="1" thickBot="1" x14ac:dyDescent="0.3">
      <c r="H25" s="10" t="s">
        <v>30</v>
      </c>
      <c r="I25" s="89">
        <f t="shared" si="2"/>
        <v>0</v>
      </c>
      <c r="J25" s="89"/>
      <c r="K25" s="45" t="str">
        <f t="shared" si="3"/>
        <v/>
      </c>
    </row>
    <row r="26" spans="2:11" ht="19.95" customHeight="1" thickBot="1" x14ac:dyDescent="0.3"/>
    <row r="27" spans="2:11" ht="19.95" customHeight="1" thickBot="1" x14ac:dyDescent="0.3">
      <c r="B27" s="90" t="s">
        <v>24</v>
      </c>
      <c r="C27" s="91"/>
      <c r="D27" s="91"/>
      <c r="E27" s="91"/>
      <c r="F27" s="92"/>
    </row>
    <row r="28" spans="2:11" ht="19.95" customHeight="1" thickBot="1" x14ac:dyDescent="0.3">
      <c r="B28" s="46" t="s">
        <v>21</v>
      </c>
      <c r="C28" s="47" t="s">
        <v>22</v>
      </c>
      <c r="D28" s="47" t="s">
        <v>23</v>
      </c>
      <c r="E28" s="48" t="s">
        <v>18</v>
      </c>
      <c r="F28" s="49" t="s">
        <v>37</v>
      </c>
      <c r="H28" s="93" t="s">
        <v>33</v>
      </c>
      <c r="I28" s="94"/>
      <c r="J28" s="94"/>
      <c r="K28" s="94"/>
    </row>
    <row r="29" spans="2:11" ht="19.95" customHeight="1" x14ac:dyDescent="0.25">
      <c r="B29" s="51"/>
      <c r="C29" s="52"/>
      <c r="D29" s="52"/>
      <c r="E29" s="53"/>
      <c r="F29" s="67" t="str">
        <f>IF(COUNTA(B29:E29)=0,"",IF(COUNTA(B29:E29)=4,"OK","ERROR: Missing "&amp;_xlfn.TEXTJOIN(", ",TRUE,IF(B29="","Date",""),IF(C29="","Item",""),IF(D29="","Category",""),IF(E29="","Amount",""))))</f>
        <v/>
      </c>
      <c r="H29" s="81" t="s">
        <v>58</v>
      </c>
      <c r="I29" s="82"/>
      <c r="J29" s="88">
        <f>SUM(E29:E103)</f>
        <v>0</v>
      </c>
      <c r="K29" s="88"/>
    </row>
    <row r="30" spans="2:11" ht="19.95" customHeight="1" x14ac:dyDescent="0.25">
      <c r="B30" s="54"/>
      <c r="C30" s="55"/>
      <c r="D30" s="55"/>
      <c r="E30" s="56"/>
      <c r="F30" s="68" t="str">
        <f t="shared" ref="F30:F93" si="4">IF(COUNTA(B30:E30)=0,"",IF(COUNTA(B30:E30)=4,"OK","ERROR: Missing "&amp;_xlfn.TEXTJOIN(", ",TRUE,IF(B30="","Date",""),IF(C30="","Item",""),IF(D30="","Category",""),IF(E30="","Amount",""))))</f>
        <v/>
      </c>
      <c r="H30" s="81" t="s">
        <v>32</v>
      </c>
      <c r="I30" s="82"/>
      <c r="J30" s="83">
        <f>D15-J29</f>
        <v>0</v>
      </c>
      <c r="K30" s="84"/>
    </row>
    <row r="31" spans="2:11" ht="19.95" customHeight="1" x14ac:dyDescent="0.25">
      <c r="B31" s="54"/>
      <c r="C31" s="55"/>
      <c r="D31" s="55"/>
      <c r="E31" s="56"/>
      <c r="F31" s="68" t="str">
        <f t="shared" si="4"/>
        <v/>
      </c>
      <c r="H31" s="95" t="s">
        <v>36</v>
      </c>
      <c r="I31" s="95"/>
      <c r="J31" s="96">
        <f>IF(D15=0,0,J29/D15)</f>
        <v>0</v>
      </c>
      <c r="K31" s="96"/>
    </row>
    <row r="32" spans="2:11" ht="19.95" customHeight="1" x14ac:dyDescent="0.25">
      <c r="B32" s="54"/>
      <c r="C32" s="55"/>
      <c r="D32" s="55"/>
      <c r="E32" s="56"/>
      <c r="F32" s="68" t="str">
        <f t="shared" si="4"/>
        <v/>
      </c>
      <c r="H32" s="97" t="s">
        <v>39</v>
      </c>
      <c r="I32" s="98"/>
      <c r="J32" s="99" t="str">
        <f ca="1">IF(C7="","",IF(TODAY()&lt;C7,0,IF(TODAY()&gt;EOMONTH(C7,0),1,(TODAY()-C7+1)/(EOMONTH(C7,0)-C7+1))))</f>
        <v/>
      </c>
      <c r="K32" s="100"/>
    </row>
    <row r="33" spans="2:11" ht="19.95" customHeight="1" x14ac:dyDescent="0.25">
      <c r="B33" s="54"/>
      <c r="C33" s="55"/>
      <c r="D33" s="55"/>
      <c r="E33" s="56"/>
      <c r="F33" s="68" t="str">
        <f t="shared" si="4"/>
        <v/>
      </c>
      <c r="H33" s="95" t="s">
        <v>49</v>
      </c>
      <c r="I33" s="95"/>
      <c r="J33" s="101" t="str">
        <f ca="1">IF(J32="","",IF(J32=0,0,J31/J32))</f>
        <v/>
      </c>
      <c r="K33" s="101"/>
    </row>
    <row r="34" spans="2:11" ht="19.95" customHeight="1" x14ac:dyDescent="0.25">
      <c r="B34" s="54"/>
      <c r="C34" s="55"/>
      <c r="D34" s="55"/>
      <c r="E34" s="56"/>
      <c r="F34" s="68" t="str">
        <f t="shared" si="4"/>
        <v/>
      </c>
      <c r="H34" s="95" t="s">
        <v>50</v>
      </c>
      <c r="I34" s="95"/>
      <c r="J34" s="84" t="str">
        <f ca="1">IF(J33="","",IF(J33&lt;0.9,"SAVING",IF(J33&lt;=1.1,"ON PLANNED PACE","SPENDING FASTER")))</f>
        <v/>
      </c>
      <c r="K34" s="84"/>
    </row>
    <row r="35" spans="2:11" ht="19.95" customHeight="1" x14ac:dyDescent="0.25">
      <c r="B35" s="54"/>
      <c r="C35" s="55"/>
      <c r="D35" s="55"/>
      <c r="E35" s="56"/>
      <c r="F35" s="68" t="str">
        <f t="shared" si="4"/>
        <v/>
      </c>
    </row>
    <row r="36" spans="2:11" ht="19.95" customHeight="1" x14ac:dyDescent="0.25">
      <c r="B36" s="54"/>
      <c r="C36" s="55"/>
      <c r="D36" s="55"/>
      <c r="E36" s="56"/>
      <c r="F36" s="68" t="str">
        <f t="shared" si="4"/>
        <v/>
      </c>
    </row>
    <row r="37" spans="2:11" ht="19.95" customHeight="1" x14ac:dyDescent="0.25">
      <c r="B37" s="54"/>
      <c r="C37" s="55"/>
      <c r="D37" s="55"/>
      <c r="E37" s="56"/>
      <c r="F37" s="68" t="str">
        <f t="shared" si="4"/>
        <v/>
      </c>
    </row>
    <row r="38" spans="2:11" ht="19.95" customHeight="1" x14ac:dyDescent="0.25">
      <c r="B38" s="54"/>
      <c r="C38" s="57"/>
      <c r="D38" s="57"/>
      <c r="E38" s="58"/>
      <c r="F38" s="68" t="str">
        <f t="shared" si="4"/>
        <v/>
      </c>
    </row>
    <row r="39" spans="2:11" ht="19.95" customHeight="1" x14ac:dyDescent="0.25">
      <c r="B39" s="54"/>
      <c r="C39" s="57"/>
      <c r="D39" s="57"/>
      <c r="E39" s="58"/>
      <c r="F39" s="68"/>
      <c r="H39" s="50"/>
    </row>
    <row r="40" spans="2:11" ht="19.95" customHeight="1" x14ac:dyDescent="0.25">
      <c r="B40" s="54"/>
      <c r="C40" s="57"/>
      <c r="D40" s="57"/>
      <c r="E40" s="58"/>
      <c r="F40" s="68" t="str">
        <f t="shared" si="4"/>
        <v/>
      </c>
    </row>
    <row r="41" spans="2:11" ht="19.95" customHeight="1" x14ac:dyDescent="0.25">
      <c r="B41" s="59"/>
      <c r="C41" s="57"/>
      <c r="D41" s="57"/>
      <c r="E41" s="58"/>
      <c r="F41" s="68" t="str">
        <f t="shared" si="4"/>
        <v/>
      </c>
    </row>
    <row r="42" spans="2:11" ht="19.95" customHeight="1" x14ac:dyDescent="0.25">
      <c r="B42" s="59"/>
      <c r="C42" s="57"/>
      <c r="D42" s="57"/>
      <c r="E42" s="58"/>
      <c r="F42" s="68" t="str">
        <f t="shared" si="4"/>
        <v/>
      </c>
    </row>
    <row r="43" spans="2:11" ht="19.95" customHeight="1" x14ac:dyDescent="0.25">
      <c r="B43" s="59"/>
      <c r="C43" s="57"/>
      <c r="D43" s="57"/>
      <c r="E43" s="58"/>
      <c r="F43" s="68" t="str">
        <f t="shared" si="4"/>
        <v/>
      </c>
    </row>
    <row r="44" spans="2:11" ht="19.95" customHeight="1" x14ac:dyDescent="0.25">
      <c r="B44" s="59"/>
      <c r="C44" s="57"/>
      <c r="D44" s="57"/>
      <c r="E44" s="58"/>
      <c r="F44" s="68" t="str">
        <f t="shared" si="4"/>
        <v/>
      </c>
    </row>
    <row r="45" spans="2:11" ht="19.95" customHeight="1" x14ac:dyDescent="0.25">
      <c r="B45" s="59"/>
      <c r="C45" s="57"/>
      <c r="D45" s="57"/>
      <c r="E45" s="58"/>
      <c r="F45" s="68" t="str">
        <f t="shared" si="4"/>
        <v/>
      </c>
    </row>
    <row r="46" spans="2:11" ht="19.95" customHeight="1" x14ac:dyDescent="0.25">
      <c r="B46" s="59"/>
      <c r="C46" s="57"/>
      <c r="D46" s="57"/>
      <c r="E46" s="58"/>
      <c r="F46" s="68" t="str">
        <f t="shared" si="4"/>
        <v/>
      </c>
    </row>
    <row r="47" spans="2:11" ht="19.95" customHeight="1" x14ac:dyDescent="0.25">
      <c r="B47" s="59"/>
      <c r="C47" s="57"/>
      <c r="D47" s="57"/>
      <c r="E47" s="58"/>
      <c r="F47" s="68" t="str">
        <f t="shared" si="4"/>
        <v/>
      </c>
    </row>
    <row r="48" spans="2:11" ht="19.95" customHeight="1" x14ac:dyDescent="0.25">
      <c r="B48" s="59"/>
      <c r="C48" s="57"/>
      <c r="D48" s="57"/>
      <c r="E48" s="58"/>
      <c r="F48" s="68" t="str">
        <f t="shared" si="4"/>
        <v/>
      </c>
    </row>
    <row r="49" spans="2:6" ht="19.95" customHeight="1" x14ac:dyDescent="0.25">
      <c r="B49" s="59"/>
      <c r="C49" s="57"/>
      <c r="D49" s="57"/>
      <c r="E49" s="58"/>
      <c r="F49" s="68" t="str">
        <f t="shared" si="4"/>
        <v/>
      </c>
    </row>
    <row r="50" spans="2:6" ht="19.95" customHeight="1" x14ac:dyDescent="0.25">
      <c r="B50" s="59"/>
      <c r="C50" s="57"/>
      <c r="D50" s="57"/>
      <c r="E50" s="58"/>
      <c r="F50" s="68" t="str">
        <f t="shared" si="4"/>
        <v/>
      </c>
    </row>
    <row r="51" spans="2:6" ht="19.95" customHeight="1" x14ac:dyDescent="0.25">
      <c r="B51" s="59"/>
      <c r="C51" s="57"/>
      <c r="D51" s="57"/>
      <c r="E51" s="58"/>
      <c r="F51" s="68" t="str">
        <f t="shared" si="4"/>
        <v/>
      </c>
    </row>
    <row r="52" spans="2:6" ht="19.95" customHeight="1" x14ac:dyDescent="0.25">
      <c r="B52" s="59"/>
      <c r="C52" s="57"/>
      <c r="D52" s="57"/>
      <c r="E52" s="58"/>
      <c r="F52" s="68" t="str">
        <f t="shared" si="4"/>
        <v/>
      </c>
    </row>
    <row r="53" spans="2:6" ht="19.95" customHeight="1" x14ac:dyDescent="0.25">
      <c r="B53" s="59"/>
      <c r="C53" s="57"/>
      <c r="D53" s="57"/>
      <c r="E53" s="58"/>
      <c r="F53" s="68" t="str">
        <f t="shared" si="4"/>
        <v/>
      </c>
    </row>
    <row r="54" spans="2:6" ht="19.95" customHeight="1" x14ac:dyDescent="0.25">
      <c r="B54" s="59"/>
      <c r="C54" s="57"/>
      <c r="D54" s="57"/>
      <c r="E54" s="58"/>
      <c r="F54" s="68" t="str">
        <f t="shared" si="4"/>
        <v/>
      </c>
    </row>
    <row r="55" spans="2:6" ht="19.95" customHeight="1" x14ac:dyDescent="0.25">
      <c r="B55" s="59"/>
      <c r="C55" s="57"/>
      <c r="D55" s="57"/>
      <c r="E55" s="58"/>
      <c r="F55" s="68" t="str">
        <f t="shared" si="4"/>
        <v/>
      </c>
    </row>
    <row r="56" spans="2:6" ht="19.95" customHeight="1" x14ac:dyDescent="0.25">
      <c r="B56" s="59"/>
      <c r="C56" s="57"/>
      <c r="D56" s="57"/>
      <c r="E56" s="58"/>
      <c r="F56" s="68" t="str">
        <f t="shared" si="4"/>
        <v/>
      </c>
    </row>
    <row r="57" spans="2:6" ht="19.95" customHeight="1" x14ac:dyDescent="0.25">
      <c r="B57" s="59"/>
      <c r="C57" s="57"/>
      <c r="D57" s="57"/>
      <c r="E57" s="58"/>
      <c r="F57" s="68" t="str">
        <f t="shared" si="4"/>
        <v/>
      </c>
    </row>
    <row r="58" spans="2:6" ht="19.95" customHeight="1" x14ac:dyDescent="0.25">
      <c r="B58" s="59"/>
      <c r="C58" s="57"/>
      <c r="D58" s="57"/>
      <c r="E58" s="58"/>
      <c r="F58" s="68" t="str">
        <f t="shared" si="4"/>
        <v/>
      </c>
    </row>
    <row r="59" spans="2:6" ht="19.95" customHeight="1" x14ac:dyDescent="0.25">
      <c r="B59" s="59"/>
      <c r="C59" s="57"/>
      <c r="D59" s="57"/>
      <c r="E59" s="58"/>
      <c r="F59" s="68" t="str">
        <f t="shared" si="4"/>
        <v/>
      </c>
    </row>
    <row r="60" spans="2:6" ht="19.95" customHeight="1" x14ac:dyDescent="0.25">
      <c r="B60" s="59"/>
      <c r="C60" s="57"/>
      <c r="D60" s="57"/>
      <c r="E60" s="58"/>
      <c r="F60" s="68" t="str">
        <f t="shared" si="4"/>
        <v/>
      </c>
    </row>
    <row r="61" spans="2:6" ht="19.95" customHeight="1" x14ac:dyDescent="0.25">
      <c r="B61" s="59"/>
      <c r="C61" s="57"/>
      <c r="D61" s="57"/>
      <c r="E61" s="58"/>
      <c r="F61" s="68" t="str">
        <f t="shared" si="4"/>
        <v/>
      </c>
    </row>
    <row r="62" spans="2:6" ht="19.95" customHeight="1" x14ac:dyDescent="0.25">
      <c r="B62" s="59"/>
      <c r="C62" s="57"/>
      <c r="D62" s="57"/>
      <c r="E62" s="58"/>
      <c r="F62" s="68" t="str">
        <f t="shared" si="4"/>
        <v/>
      </c>
    </row>
    <row r="63" spans="2:6" ht="19.95" customHeight="1" x14ac:dyDescent="0.25">
      <c r="B63" s="59"/>
      <c r="C63" s="57"/>
      <c r="D63" s="57"/>
      <c r="E63" s="58"/>
      <c r="F63" s="68" t="str">
        <f t="shared" si="4"/>
        <v/>
      </c>
    </row>
    <row r="64" spans="2:6" ht="19.95" customHeight="1" x14ac:dyDescent="0.25">
      <c r="B64" s="59"/>
      <c r="C64" s="57"/>
      <c r="D64" s="57"/>
      <c r="E64" s="58"/>
      <c r="F64" s="68" t="str">
        <f t="shared" si="4"/>
        <v/>
      </c>
    </row>
    <row r="65" spans="2:6" ht="19.95" customHeight="1" x14ac:dyDescent="0.25">
      <c r="B65" s="59"/>
      <c r="C65" s="57"/>
      <c r="D65" s="57"/>
      <c r="E65" s="58"/>
      <c r="F65" s="68" t="str">
        <f t="shared" si="4"/>
        <v/>
      </c>
    </row>
    <row r="66" spans="2:6" ht="19.95" customHeight="1" x14ac:dyDescent="0.25">
      <c r="B66" s="59"/>
      <c r="C66" s="57"/>
      <c r="D66" s="57"/>
      <c r="E66" s="58"/>
      <c r="F66" s="68" t="str">
        <f t="shared" si="4"/>
        <v/>
      </c>
    </row>
    <row r="67" spans="2:6" ht="19.95" customHeight="1" x14ac:dyDescent="0.25">
      <c r="B67" s="59"/>
      <c r="C67" s="57"/>
      <c r="D67" s="57"/>
      <c r="E67" s="58"/>
      <c r="F67" s="68" t="str">
        <f t="shared" si="4"/>
        <v/>
      </c>
    </row>
    <row r="68" spans="2:6" ht="19.95" customHeight="1" x14ac:dyDescent="0.25">
      <c r="B68" s="59"/>
      <c r="C68" s="57"/>
      <c r="D68" s="57"/>
      <c r="E68" s="58"/>
      <c r="F68" s="68" t="str">
        <f t="shared" si="4"/>
        <v/>
      </c>
    </row>
    <row r="69" spans="2:6" ht="19.95" customHeight="1" x14ac:dyDescent="0.25">
      <c r="B69" s="59"/>
      <c r="C69" s="57"/>
      <c r="D69" s="57"/>
      <c r="E69" s="58"/>
      <c r="F69" s="68" t="str">
        <f t="shared" si="4"/>
        <v/>
      </c>
    </row>
    <row r="70" spans="2:6" ht="19.95" customHeight="1" x14ac:dyDescent="0.25">
      <c r="B70" s="59"/>
      <c r="C70" s="57"/>
      <c r="D70" s="57"/>
      <c r="E70" s="58"/>
      <c r="F70" s="68" t="str">
        <f t="shared" si="4"/>
        <v/>
      </c>
    </row>
    <row r="71" spans="2:6" ht="19.95" customHeight="1" x14ac:dyDescent="0.25">
      <c r="B71" s="59"/>
      <c r="C71" s="57"/>
      <c r="D71" s="57"/>
      <c r="E71" s="58"/>
      <c r="F71" s="68" t="str">
        <f t="shared" si="4"/>
        <v/>
      </c>
    </row>
    <row r="72" spans="2:6" ht="19.95" customHeight="1" x14ac:dyDescent="0.25">
      <c r="B72" s="59"/>
      <c r="C72" s="57"/>
      <c r="D72" s="57"/>
      <c r="E72" s="58"/>
      <c r="F72" s="68" t="str">
        <f t="shared" si="4"/>
        <v/>
      </c>
    </row>
    <row r="73" spans="2:6" ht="19.95" customHeight="1" x14ac:dyDescent="0.25">
      <c r="B73" s="59"/>
      <c r="C73" s="57"/>
      <c r="D73" s="57"/>
      <c r="E73" s="58"/>
      <c r="F73" s="68" t="str">
        <f t="shared" si="4"/>
        <v/>
      </c>
    </row>
    <row r="74" spans="2:6" ht="19.95" customHeight="1" x14ac:dyDescent="0.25">
      <c r="B74" s="59"/>
      <c r="C74" s="57"/>
      <c r="D74" s="57"/>
      <c r="E74" s="58"/>
      <c r="F74" s="68" t="str">
        <f t="shared" si="4"/>
        <v/>
      </c>
    </row>
    <row r="75" spans="2:6" ht="19.95" customHeight="1" x14ac:dyDescent="0.25">
      <c r="B75" s="59"/>
      <c r="C75" s="57"/>
      <c r="D75" s="57"/>
      <c r="E75" s="58"/>
      <c r="F75" s="68" t="str">
        <f t="shared" si="4"/>
        <v/>
      </c>
    </row>
    <row r="76" spans="2:6" ht="19.95" customHeight="1" x14ac:dyDescent="0.25">
      <c r="B76" s="59"/>
      <c r="C76" s="57"/>
      <c r="D76" s="57"/>
      <c r="E76" s="58"/>
      <c r="F76" s="68" t="str">
        <f t="shared" si="4"/>
        <v/>
      </c>
    </row>
    <row r="77" spans="2:6" ht="19.95" customHeight="1" x14ac:dyDescent="0.25">
      <c r="B77" s="59"/>
      <c r="C77" s="57"/>
      <c r="D77" s="57"/>
      <c r="E77" s="58"/>
      <c r="F77" s="68" t="str">
        <f t="shared" si="4"/>
        <v/>
      </c>
    </row>
    <row r="78" spans="2:6" ht="19.95" customHeight="1" x14ac:dyDescent="0.25">
      <c r="B78" s="59"/>
      <c r="C78" s="57"/>
      <c r="D78" s="57"/>
      <c r="E78" s="58"/>
      <c r="F78" s="68" t="str">
        <f t="shared" si="4"/>
        <v/>
      </c>
    </row>
    <row r="79" spans="2:6" ht="19.95" customHeight="1" x14ac:dyDescent="0.25">
      <c r="B79" s="59"/>
      <c r="C79" s="57"/>
      <c r="D79" s="57"/>
      <c r="E79" s="58"/>
      <c r="F79" s="68" t="str">
        <f t="shared" si="4"/>
        <v/>
      </c>
    </row>
    <row r="80" spans="2:6" ht="19.95" customHeight="1" x14ac:dyDescent="0.25">
      <c r="B80" s="59"/>
      <c r="C80" s="57"/>
      <c r="D80" s="57"/>
      <c r="E80" s="58"/>
      <c r="F80" s="68" t="str">
        <f t="shared" si="4"/>
        <v/>
      </c>
    </row>
    <row r="81" spans="2:6" ht="19.95" customHeight="1" x14ac:dyDescent="0.25">
      <c r="B81" s="59"/>
      <c r="C81" s="57"/>
      <c r="D81" s="57"/>
      <c r="E81" s="58"/>
      <c r="F81" s="68" t="str">
        <f t="shared" si="4"/>
        <v/>
      </c>
    </row>
    <row r="82" spans="2:6" ht="19.95" customHeight="1" x14ac:dyDescent="0.25">
      <c r="B82" s="59"/>
      <c r="C82" s="57"/>
      <c r="D82" s="57"/>
      <c r="E82" s="58"/>
      <c r="F82" s="68" t="str">
        <f t="shared" si="4"/>
        <v/>
      </c>
    </row>
    <row r="83" spans="2:6" ht="19.95" customHeight="1" x14ac:dyDescent="0.25">
      <c r="B83" s="59"/>
      <c r="C83" s="57"/>
      <c r="D83" s="57"/>
      <c r="E83" s="58"/>
      <c r="F83" s="68" t="str">
        <f t="shared" si="4"/>
        <v/>
      </c>
    </row>
    <row r="84" spans="2:6" ht="19.95" customHeight="1" x14ac:dyDescent="0.25">
      <c r="B84" s="59"/>
      <c r="C84" s="57"/>
      <c r="D84" s="57"/>
      <c r="E84" s="58"/>
      <c r="F84" s="68" t="str">
        <f t="shared" si="4"/>
        <v/>
      </c>
    </row>
    <row r="85" spans="2:6" ht="19.95" customHeight="1" x14ac:dyDescent="0.25">
      <c r="B85" s="59"/>
      <c r="C85" s="57"/>
      <c r="D85" s="57"/>
      <c r="E85" s="58"/>
      <c r="F85" s="68" t="str">
        <f t="shared" si="4"/>
        <v/>
      </c>
    </row>
    <row r="86" spans="2:6" ht="19.95" customHeight="1" x14ac:dyDescent="0.25">
      <c r="B86" s="59"/>
      <c r="C86" s="57"/>
      <c r="D86" s="57"/>
      <c r="E86" s="58"/>
      <c r="F86" s="68" t="str">
        <f t="shared" si="4"/>
        <v/>
      </c>
    </row>
    <row r="87" spans="2:6" ht="19.95" customHeight="1" x14ac:dyDescent="0.25">
      <c r="B87" s="59"/>
      <c r="C87" s="57"/>
      <c r="D87" s="57"/>
      <c r="E87" s="58"/>
      <c r="F87" s="68" t="str">
        <f t="shared" si="4"/>
        <v/>
      </c>
    </row>
    <row r="88" spans="2:6" ht="19.95" customHeight="1" x14ac:dyDescent="0.25">
      <c r="B88" s="59"/>
      <c r="C88" s="57"/>
      <c r="D88" s="57"/>
      <c r="E88" s="58"/>
      <c r="F88" s="68" t="str">
        <f t="shared" si="4"/>
        <v/>
      </c>
    </row>
    <row r="89" spans="2:6" ht="19.95" customHeight="1" x14ac:dyDescent="0.25">
      <c r="B89" s="59"/>
      <c r="C89" s="57"/>
      <c r="D89" s="57"/>
      <c r="E89" s="58"/>
      <c r="F89" s="68" t="str">
        <f t="shared" si="4"/>
        <v/>
      </c>
    </row>
    <row r="90" spans="2:6" ht="19.95" customHeight="1" x14ac:dyDescent="0.25">
      <c r="B90" s="59"/>
      <c r="C90" s="57"/>
      <c r="D90" s="57"/>
      <c r="E90" s="58"/>
      <c r="F90" s="68" t="str">
        <f t="shared" si="4"/>
        <v/>
      </c>
    </row>
    <row r="91" spans="2:6" ht="19.95" customHeight="1" x14ac:dyDescent="0.25">
      <c r="B91" s="59"/>
      <c r="C91" s="57"/>
      <c r="D91" s="57"/>
      <c r="E91" s="58"/>
      <c r="F91" s="68" t="str">
        <f t="shared" si="4"/>
        <v/>
      </c>
    </row>
    <row r="92" spans="2:6" ht="19.95" customHeight="1" x14ac:dyDescent="0.25">
      <c r="B92" s="59"/>
      <c r="C92" s="57"/>
      <c r="D92" s="57"/>
      <c r="E92" s="58"/>
      <c r="F92" s="68" t="str">
        <f t="shared" si="4"/>
        <v/>
      </c>
    </row>
    <row r="93" spans="2:6" ht="19.95" customHeight="1" x14ac:dyDescent="0.25">
      <c r="B93" s="59"/>
      <c r="C93" s="57"/>
      <c r="D93" s="57"/>
      <c r="E93" s="58"/>
      <c r="F93" s="68" t="str">
        <f t="shared" si="4"/>
        <v/>
      </c>
    </row>
    <row r="94" spans="2:6" ht="19.95" customHeight="1" x14ac:dyDescent="0.25">
      <c r="B94" s="59"/>
      <c r="C94" s="57"/>
      <c r="D94" s="57"/>
      <c r="E94" s="58"/>
      <c r="F94" s="68" t="str">
        <f t="shared" ref="F94:F103" si="5">IF(COUNTA(B94:E94)=0,"",IF(COUNTA(B94:E94)=4,"OK","ERROR: Missing "&amp;_xlfn.TEXTJOIN(", ",TRUE,IF(B94="","Date",""),IF(C94="","Item",""),IF(D94="","Category",""),IF(E94="","Amount",""))))</f>
        <v/>
      </c>
    </row>
    <row r="95" spans="2:6" ht="19.95" customHeight="1" x14ac:dyDescent="0.25">
      <c r="B95" s="59"/>
      <c r="C95" s="57"/>
      <c r="D95" s="57"/>
      <c r="E95" s="58"/>
      <c r="F95" s="68" t="str">
        <f t="shared" si="5"/>
        <v/>
      </c>
    </row>
    <row r="96" spans="2:6" ht="19.95" customHeight="1" x14ac:dyDescent="0.25">
      <c r="B96" s="59"/>
      <c r="C96" s="57"/>
      <c r="D96" s="57"/>
      <c r="E96" s="58"/>
      <c r="F96" s="68" t="str">
        <f t="shared" si="5"/>
        <v/>
      </c>
    </row>
    <row r="97" spans="2:6" ht="19.95" customHeight="1" x14ac:dyDescent="0.25">
      <c r="B97" s="59"/>
      <c r="C97" s="57"/>
      <c r="D97" s="57"/>
      <c r="E97" s="58"/>
      <c r="F97" s="68" t="str">
        <f t="shared" si="5"/>
        <v/>
      </c>
    </row>
    <row r="98" spans="2:6" ht="19.95" customHeight="1" x14ac:dyDescent="0.25">
      <c r="B98" s="59"/>
      <c r="C98" s="57"/>
      <c r="D98" s="57"/>
      <c r="E98" s="58"/>
      <c r="F98" s="68" t="str">
        <f t="shared" si="5"/>
        <v/>
      </c>
    </row>
    <row r="99" spans="2:6" ht="19.95" customHeight="1" x14ac:dyDescent="0.25">
      <c r="B99" s="59"/>
      <c r="C99" s="57"/>
      <c r="D99" s="57"/>
      <c r="E99" s="58"/>
      <c r="F99" s="68" t="str">
        <f t="shared" si="5"/>
        <v/>
      </c>
    </row>
    <row r="100" spans="2:6" ht="19.95" customHeight="1" x14ac:dyDescent="0.25">
      <c r="B100" s="59"/>
      <c r="C100" s="57"/>
      <c r="D100" s="57"/>
      <c r="E100" s="58"/>
      <c r="F100" s="68" t="str">
        <f t="shared" si="5"/>
        <v/>
      </c>
    </row>
    <row r="101" spans="2:6" ht="19.95" customHeight="1" x14ac:dyDescent="0.25">
      <c r="B101" s="59"/>
      <c r="C101" s="57"/>
      <c r="D101" s="57"/>
      <c r="E101" s="58"/>
      <c r="F101" s="68" t="str">
        <f t="shared" si="5"/>
        <v/>
      </c>
    </row>
    <row r="102" spans="2:6" ht="19.95" customHeight="1" x14ac:dyDescent="0.25">
      <c r="B102" s="59"/>
      <c r="C102" s="57"/>
      <c r="D102" s="57"/>
      <c r="E102" s="58"/>
      <c r="F102" s="68" t="str">
        <f t="shared" si="5"/>
        <v/>
      </c>
    </row>
    <row r="103" spans="2:6" ht="19.95" customHeight="1" thickBot="1" x14ac:dyDescent="0.3">
      <c r="B103" s="60"/>
      <c r="C103" s="61"/>
      <c r="D103" s="61"/>
      <c r="E103" s="62"/>
      <c r="F103" s="69" t="str">
        <f t="shared" si="5"/>
        <v/>
      </c>
    </row>
  </sheetData>
  <sheetProtection algorithmName="SHA-512" hashValue="pWVchM//N2DFk9DnEME+e5YZYRie2c/eXTL/0ThKcE6kq9PRJZd3r2YyYhjuZiIAyDaHABYyMuQExUwFg6xwQA==" saltValue="N08x0IXnROpkkuMdvNaMzQ==" spinCount="100000" sheet="1" objects="1" scenarios="1" selectLockedCells="1"/>
  <mergeCells count="27">
    <mergeCell ref="I24:J24"/>
    <mergeCell ref="I25:J25"/>
    <mergeCell ref="B18:C18"/>
    <mergeCell ref="B1:P4"/>
    <mergeCell ref="H6:J6"/>
    <mergeCell ref="D7:E8"/>
    <mergeCell ref="B9:D9"/>
    <mergeCell ref="M12:M15"/>
    <mergeCell ref="I19:J19"/>
    <mergeCell ref="I20:J20"/>
    <mergeCell ref="I21:J21"/>
    <mergeCell ref="I22:J22"/>
    <mergeCell ref="I23:J23"/>
    <mergeCell ref="B27:F27"/>
    <mergeCell ref="H28:K28"/>
    <mergeCell ref="H29:I29"/>
    <mergeCell ref="J29:K29"/>
    <mergeCell ref="H34:I34"/>
    <mergeCell ref="J34:K34"/>
    <mergeCell ref="H31:I31"/>
    <mergeCell ref="J31:K31"/>
    <mergeCell ref="H32:I32"/>
    <mergeCell ref="J32:K32"/>
    <mergeCell ref="H33:I33"/>
    <mergeCell ref="J33:K33"/>
    <mergeCell ref="H30:I30"/>
    <mergeCell ref="J30:K30"/>
  </mergeCells>
  <conditionalFormatting sqref="C24">
    <cfRule type="expression" dxfId="15" priority="1">
      <formula>COUNTIF($O$6:$O$9,TRUE)=4</formula>
    </cfRule>
    <cfRule type="expression" dxfId="14" priority="2">
      <formula>COUNTIF($O$6:$O$9,TRUE)=3</formula>
    </cfRule>
    <cfRule type="expression" dxfId="13" priority="3">
      <formula>COUNTIF($O$6:$O$9,TRUE)=2</formula>
    </cfRule>
    <cfRule type="expression" dxfId="12" priority="4">
      <formula>COUNTIF($O$6:$O$9,TRUE)=1</formula>
    </cfRule>
    <cfRule type="expression" dxfId="11" priority="5">
      <formula>COUNTIF($O$6:$O$9,TRUE)=0</formula>
    </cfRule>
  </conditionalFormatting>
  <conditionalFormatting sqref="J34:K34">
    <cfRule type="containsText" dxfId="10" priority="7" operator="containsText" text="SPENDING FASTER">
      <formula>NOT(ISERROR(SEARCH("SPENDING FASTER",J34)))</formula>
    </cfRule>
    <cfRule type="containsText" dxfId="9" priority="8" operator="containsText" text="ON PLANNED PACE">
      <formula>NOT(ISERROR(SEARCH("ON PLANNED PACE",J34)))</formula>
    </cfRule>
    <cfRule type="containsText" dxfId="8" priority="9" operator="containsText" text="SAVING">
      <formula>NOT(ISERROR(SEARCH("SAVING",J34)))</formula>
    </cfRule>
  </conditionalFormatting>
  <conditionalFormatting sqref="K20:K25">
    <cfRule type="dataBar" priority="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{4D9493D7-39A4-40D3-B106-A39B1555D618}</x14:id>
        </ext>
      </extLst>
    </cfRule>
  </conditionalFormatting>
  <dataValidations count="5">
    <dataValidation type="date" allowBlank="1" showInputMessage="1" showErrorMessage="1" error="Enter a valid date" prompt="Enter Date" sqref="B29:B40" xr:uid="{E656612B-BE12-4318-AC45-D6DAE63CFE6D}">
      <formula1>43831</formula1>
      <formula2>73415</formula2>
    </dataValidation>
    <dataValidation type="date" allowBlank="1" showInputMessage="1" showErrorMessage="1" sqref="B41:B100" xr:uid="{703BF6BE-A07D-48AB-9461-94B375F12905}">
      <formula1>43831</formula1>
      <formula2>73415</formula2>
    </dataValidation>
    <dataValidation type="date" allowBlank="1" showInputMessage="1" showErrorMessage="1" error="Invalid Date" prompt="Enter Date" sqref="B101:B103" xr:uid="{62307CC9-A329-4C64-873B-555241094A41}">
      <formula1>46023</formula1>
      <formula2>73415</formula2>
    </dataValidation>
    <dataValidation type="decimal" operator="greaterThan" allowBlank="1" showInputMessage="1" showErrorMessage="1" error="Enter valid amount" prompt="Enter Amount " sqref="E29:E103" xr:uid="{16B8DB35-40D1-427F-874D-ECFC9EEACE14}">
      <formula1>0</formula1>
    </dataValidation>
    <dataValidation type="list" allowBlank="1" showInputMessage="1" showErrorMessage="1" sqref="D29:D103" xr:uid="{30FC9803-8719-425B-96EA-1D60182CB780}">
      <formula1>$H$20:$H$25</formula1>
    </dataValidation>
  </dataValidations>
  <pageMargins left="0.7" right="0.7" top="0.75" bottom="0.75" header="0.3" footer="0.3"/>
  <pageSetup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049" r:id="rId4" name="Check Box 1">
              <controlPr locked="0" defaultSize="0" autoFill="0" autoLine="0" autoPict="0">
                <anchor>
                  <from>
                    <xdr:col>2</xdr:col>
                    <xdr:colOff>830580</xdr:colOff>
                    <xdr:row>19</xdr:row>
                    <xdr:rowOff>15240</xdr:rowOff>
                  </from>
                  <to>
                    <xdr:col>2</xdr:col>
                    <xdr:colOff>1013460</xdr:colOff>
                    <xdr:row>19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0" r:id="rId5" name="Check Box 2">
              <controlPr locked="0" defaultSize="0" autoFill="0" autoLine="0" autoPict="0">
                <anchor>
                  <from>
                    <xdr:col>2</xdr:col>
                    <xdr:colOff>830580</xdr:colOff>
                    <xdr:row>20</xdr:row>
                    <xdr:rowOff>7620</xdr:rowOff>
                  </from>
                  <to>
                    <xdr:col>2</xdr:col>
                    <xdr:colOff>1021080</xdr:colOff>
                    <xdr:row>20</xdr:row>
                    <xdr:rowOff>236220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1" r:id="rId6" name="Check Box 3">
              <controlPr locked="0" defaultSize="0" autoFill="0" autoLine="0" autoPict="0">
                <anchor>
                  <from>
                    <xdr:col>2</xdr:col>
                    <xdr:colOff>830580</xdr:colOff>
                    <xdr:row>21</xdr:row>
                    <xdr:rowOff>22860</xdr:rowOff>
                  </from>
                  <to>
                    <xdr:col>2</xdr:col>
                    <xdr:colOff>1013460</xdr:colOff>
                    <xdr:row>21</xdr:row>
                    <xdr:rowOff>243840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2" r:id="rId7" name="Check Box 4">
              <controlPr locked="0" defaultSize="0" autoFill="0" autoLine="0" autoPict="0" altText="">
                <anchor>
                  <from>
                    <xdr:col>2</xdr:col>
                    <xdr:colOff>830580</xdr:colOff>
                    <xdr:row>22</xdr:row>
                    <xdr:rowOff>22860</xdr:rowOff>
                  </from>
                  <to>
                    <xdr:col>2</xdr:col>
                    <xdr:colOff>1013460</xdr:colOff>
                    <xdr:row>22</xdr:row>
                    <xdr:rowOff>243840</xdr:rowOff>
                  </to>
                </anchor>
              </controlPr>
            </control>
          </mc:Choice>
        </mc:AlternateContent>
      </controls>
    </mc:Choice>
  </mc:AlternateContent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4D9493D7-39A4-40D3-B106-A39B1555D618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K20:K25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337A08-F93C-44FD-8C8A-9782E930CEC4}">
  <dimension ref="A1:Q103"/>
  <sheetViews>
    <sheetView topLeftCell="B18" zoomScale="119" zoomScaleNormal="190" workbookViewId="0">
      <selection activeCell="B29" sqref="B29"/>
    </sheetView>
  </sheetViews>
  <sheetFormatPr defaultRowHeight="19.95" customHeight="1" x14ac:dyDescent="0.25"/>
  <cols>
    <col min="1" max="1" width="8.88671875" style="14"/>
    <col min="2" max="2" width="22.109375" style="14" bestFit="1" customWidth="1"/>
    <col min="3" max="3" width="21.109375" style="14" bestFit="1" customWidth="1"/>
    <col min="4" max="4" width="13.88671875" style="14" customWidth="1"/>
    <col min="5" max="5" width="17.5546875" style="14" bestFit="1" customWidth="1"/>
    <col min="6" max="6" width="8.88671875" style="14"/>
    <col min="7" max="7" width="12" style="14" customWidth="1"/>
    <col min="8" max="8" width="25.6640625" style="14" customWidth="1"/>
    <col min="9" max="9" width="7.109375" style="14" bestFit="1" customWidth="1"/>
    <col min="10" max="10" width="14.33203125" style="14" bestFit="1" customWidth="1"/>
    <col min="11" max="11" width="18" style="14" bestFit="1" customWidth="1"/>
    <col min="12" max="12" width="14.21875" style="14" bestFit="1" customWidth="1"/>
    <col min="13" max="14" width="8.88671875" style="14"/>
    <col min="15" max="15" width="7" style="14" hidden="1" customWidth="1"/>
    <col min="16" max="16384" width="8.88671875" style="14"/>
  </cols>
  <sheetData>
    <row r="1" spans="1:17" ht="19.95" customHeight="1" x14ac:dyDescent="0.25">
      <c r="A1" s="13" t="s">
        <v>40</v>
      </c>
      <c r="B1" s="72">
        <f>C7</f>
        <v>0</v>
      </c>
      <c r="C1" s="72"/>
      <c r="D1" s="72"/>
      <c r="E1" s="72"/>
      <c r="F1" s="72"/>
      <c r="G1" s="72"/>
      <c r="H1" s="72"/>
      <c r="I1" s="72"/>
      <c r="J1" s="72"/>
      <c r="K1" s="72"/>
      <c r="L1" s="72"/>
      <c r="M1" s="72"/>
      <c r="N1" s="72"/>
      <c r="O1" s="72"/>
      <c r="P1" s="72"/>
      <c r="Q1" s="13" t="s">
        <v>40</v>
      </c>
    </row>
    <row r="2" spans="1:17" ht="19.95" customHeight="1" x14ac:dyDescent="0.25">
      <c r="A2" s="13" t="s">
        <v>41</v>
      </c>
      <c r="B2" s="72"/>
      <c r="C2" s="72"/>
      <c r="D2" s="72"/>
      <c r="E2" s="72"/>
      <c r="F2" s="72"/>
      <c r="G2" s="72"/>
      <c r="H2" s="72"/>
      <c r="I2" s="72"/>
      <c r="J2" s="72"/>
      <c r="K2" s="72"/>
      <c r="L2" s="72"/>
      <c r="M2" s="72"/>
      <c r="N2" s="72"/>
      <c r="O2" s="72"/>
      <c r="P2" s="72"/>
      <c r="Q2" s="13" t="s">
        <v>41</v>
      </c>
    </row>
    <row r="3" spans="1:17" ht="19.95" customHeight="1" x14ac:dyDescent="0.25">
      <c r="A3" s="13" t="s">
        <v>42</v>
      </c>
      <c r="B3" s="72"/>
      <c r="C3" s="72"/>
      <c r="D3" s="72"/>
      <c r="E3" s="72"/>
      <c r="F3" s="72"/>
      <c r="G3" s="72"/>
      <c r="H3" s="72"/>
      <c r="I3" s="72"/>
      <c r="J3" s="72"/>
      <c r="K3" s="72"/>
      <c r="L3" s="72"/>
      <c r="M3" s="72"/>
      <c r="N3" s="72"/>
      <c r="O3" s="72"/>
      <c r="P3" s="72"/>
      <c r="Q3" s="13" t="s">
        <v>42</v>
      </c>
    </row>
    <row r="4" spans="1:17" ht="19.95" customHeight="1" x14ac:dyDescent="0.25">
      <c r="A4" s="13" t="s">
        <v>43</v>
      </c>
      <c r="B4" s="72"/>
      <c r="C4" s="72"/>
      <c r="D4" s="72"/>
      <c r="E4" s="72"/>
      <c r="F4" s="72"/>
      <c r="G4" s="72"/>
      <c r="H4" s="72"/>
      <c r="I4" s="72"/>
      <c r="J4" s="72"/>
      <c r="K4" s="72"/>
      <c r="L4" s="72"/>
      <c r="M4" s="72"/>
      <c r="N4" s="72"/>
      <c r="O4" s="72"/>
      <c r="P4" s="72"/>
      <c r="Q4" s="13" t="s">
        <v>43</v>
      </c>
    </row>
    <row r="5" spans="1:17" ht="19.95" customHeight="1" thickBot="1" x14ac:dyDescent="0.3">
      <c r="A5" s="15"/>
      <c r="Q5" s="15"/>
    </row>
    <row r="6" spans="1:17" ht="19.95" customHeight="1" thickBot="1" x14ac:dyDescent="0.3">
      <c r="H6" s="73" t="s">
        <v>16</v>
      </c>
      <c r="I6" s="74"/>
      <c r="J6" s="75"/>
      <c r="O6" s="66" t="b">
        <v>0</v>
      </c>
    </row>
    <row r="7" spans="1:17" ht="19.95" customHeight="1" thickBot="1" x14ac:dyDescent="0.3">
      <c r="B7" s="16" t="s">
        <v>38</v>
      </c>
      <c r="C7" s="65"/>
      <c r="D7" s="76" t="s">
        <v>55</v>
      </c>
      <c r="E7" s="77"/>
      <c r="F7" s="17"/>
      <c r="H7" s="3" t="s">
        <v>5</v>
      </c>
      <c r="I7" s="4" t="s">
        <v>19</v>
      </c>
      <c r="J7" s="18" t="s">
        <v>15</v>
      </c>
      <c r="O7" s="66" t="b">
        <v>0</v>
      </c>
    </row>
    <row r="8" spans="1:17" ht="19.95" customHeight="1" thickBot="1" x14ac:dyDescent="0.3">
      <c r="B8" s="19" t="s">
        <v>0</v>
      </c>
      <c r="C8" s="64"/>
      <c r="D8" s="76"/>
      <c r="E8" s="77"/>
      <c r="F8" s="20"/>
      <c r="H8" s="2" t="s">
        <v>7</v>
      </c>
      <c r="I8" s="1">
        <v>0.05</v>
      </c>
      <c r="J8" s="21">
        <f>$C$8*I8</f>
        <v>0</v>
      </c>
      <c r="O8" s="66" t="b">
        <v>0</v>
      </c>
    </row>
    <row r="9" spans="1:17" ht="19.95" customHeight="1" thickBot="1" x14ac:dyDescent="0.3">
      <c r="B9" s="78" t="s">
        <v>20</v>
      </c>
      <c r="C9" s="79"/>
      <c r="D9" s="79"/>
      <c r="F9" s="20"/>
      <c r="H9" s="2" t="s">
        <v>8</v>
      </c>
      <c r="I9" s="1">
        <v>0.2</v>
      </c>
      <c r="J9" s="21">
        <f t="shared" ref="J9:J15" si="0">$C$8*I9</f>
        <v>0</v>
      </c>
      <c r="O9" s="66" t="b">
        <v>0</v>
      </c>
    </row>
    <row r="10" spans="1:17" ht="19.95" customHeight="1" x14ac:dyDescent="0.25">
      <c r="B10" s="22" t="s">
        <v>5</v>
      </c>
      <c r="C10" s="23" t="s">
        <v>17</v>
      </c>
      <c r="D10" s="24" t="s">
        <v>18</v>
      </c>
      <c r="F10" s="20"/>
      <c r="H10" s="2" t="s">
        <v>9</v>
      </c>
      <c r="I10" s="1">
        <v>0.25</v>
      </c>
      <c r="J10" s="21">
        <f t="shared" si="0"/>
        <v>0</v>
      </c>
    </row>
    <row r="11" spans="1:17" ht="19.95" customHeight="1" x14ac:dyDescent="0.25">
      <c r="B11" s="25" t="s">
        <v>1</v>
      </c>
      <c r="C11" s="63"/>
      <c r="D11" s="26">
        <f>$C$8*(C11/100)</f>
        <v>0</v>
      </c>
      <c r="F11" s="20"/>
      <c r="H11" s="2" t="s">
        <v>10</v>
      </c>
      <c r="I11" s="1">
        <v>0.15</v>
      </c>
      <c r="J11" s="21">
        <f t="shared" si="0"/>
        <v>0</v>
      </c>
    </row>
    <row r="12" spans="1:17" ht="19.95" customHeight="1" x14ac:dyDescent="0.25">
      <c r="B12" s="25" t="s">
        <v>2</v>
      </c>
      <c r="C12" s="63"/>
      <c r="D12" s="26">
        <f t="shared" ref="D12:D14" si="1">$C$8*(C12/100)</f>
        <v>0</v>
      </c>
      <c r="F12" s="20"/>
      <c r="H12" s="2" t="s">
        <v>11</v>
      </c>
      <c r="I12" s="1">
        <v>0.15</v>
      </c>
      <c r="J12" s="21">
        <f t="shared" si="0"/>
        <v>0</v>
      </c>
      <c r="L12" s="14" t="s">
        <v>46</v>
      </c>
      <c r="M12" s="80" t="s">
        <v>48</v>
      </c>
    </row>
    <row r="13" spans="1:17" ht="19.95" customHeight="1" x14ac:dyDescent="0.25">
      <c r="B13" s="25" t="s">
        <v>3</v>
      </c>
      <c r="C13" s="63"/>
      <c r="D13" s="26">
        <f t="shared" si="1"/>
        <v>0</v>
      </c>
      <c r="F13" s="20"/>
      <c r="H13" s="2" t="s">
        <v>13</v>
      </c>
      <c r="I13" s="1">
        <v>0.05</v>
      </c>
      <c r="J13" s="21">
        <f t="shared" si="0"/>
        <v>0</v>
      </c>
      <c r="L13" s="14" t="s">
        <v>44</v>
      </c>
      <c r="M13" s="80"/>
    </row>
    <row r="14" spans="1:17" ht="19.95" customHeight="1" x14ac:dyDescent="0.25">
      <c r="B14" s="25" t="s">
        <v>4</v>
      </c>
      <c r="C14" s="63"/>
      <c r="D14" s="26">
        <f t="shared" si="1"/>
        <v>0</v>
      </c>
      <c r="F14" s="20"/>
      <c r="H14" s="2" t="s">
        <v>12</v>
      </c>
      <c r="I14" s="1">
        <v>0.05</v>
      </c>
      <c r="J14" s="21">
        <f t="shared" si="0"/>
        <v>0</v>
      </c>
      <c r="L14" s="14" t="s">
        <v>45</v>
      </c>
      <c r="M14" s="80"/>
    </row>
    <row r="15" spans="1:17" ht="19.95" customHeight="1" thickBot="1" x14ac:dyDescent="0.3">
      <c r="B15" s="27" t="s">
        <v>31</v>
      </c>
      <c r="C15" s="28">
        <f>100-(SUM(C11:C14))</f>
        <v>100</v>
      </c>
      <c r="D15" s="29">
        <f>C8-(SUM(D11:D14))</f>
        <v>0</v>
      </c>
      <c r="F15" s="20"/>
      <c r="H15" s="5" t="s">
        <v>14</v>
      </c>
      <c r="I15" s="6">
        <v>0.1</v>
      </c>
      <c r="J15" s="30">
        <f t="shared" si="0"/>
        <v>0</v>
      </c>
      <c r="L15" s="14" t="s">
        <v>47</v>
      </c>
      <c r="M15" s="80"/>
    </row>
    <row r="16" spans="1:17" ht="19.95" customHeight="1" thickBot="1" x14ac:dyDescent="0.3">
      <c r="F16" s="20"/>
      <c r="H16" s="7" t="s">
        <v>6</v>
      </c>
      <c r="I16" s="8">
        <v>1</v>
      </c>
      <c r="J16" s="31">
        <f>SUM(J8:J15)</f>
        <v>0</v>
      </c>
    </row>
    <row r="17" spans="2:11" ht="19.95" customHeight="1" thickBot="1" x14ac:dyDescent="0.3"/>
    <row r="18" spans="2:11" ht="19.95" customHeight="1" thickBot="1" x14ac:dyDescent="0.3">
      <c r="B18" s="70" t="s">
        <v>53</v>
      </c>
      <c r="C18" s="71"/>
    </row>
    <row r="19" spans="2:11" ht="19.95" customHeight="1" thickBot="1" x14ac:dyDescent="0.3">
      <c r="B19" s="32" t="s">
        <v>52</v>
      </c>
      <c r="C19" s="33" t="s">
        <v>54</v>
      </c>
      <c r="H19" s="11" t="s">
        <v>25</v>
      </c>
      <c r="I19" s="85" t="s">
        <v>35</v>
      </c>
      <c r="J19" s="86"/>
      <c r="K19" s="34" t="s">
        <v>51</v>
      </c>
    </row>
    <row r="20" spans="2:11" ht="19.95" customHeight="1" x14ac:dyDescent="0.25">
      <c r="B20" s="25" t="s">
        <v>1</v>
      </c>
      <c r="C20" s="35"/>
      <c r="D20" s="36"/>
      <c r="E20" s="36"/>
      <c r="H20" s="12" t="s">
        <v>26</v>
      </c>
      <c r="I20" s="87">
        <f t="shared" ref="I20:I25" si="2">SUMIF($D$29:$D$103,H20,$E$29:$E$103)</f>
        <v>0</v>
      </c>
      <c r="J20" s="87"/>
      <c r="K20" s="37" t="str">
        <f>IF($D$15=0,"",I20/$D$15)</f>
        <v/>
      </c>
    </row>
    <row r="21" spans="2:11" ht="19.95" customHeight="1" x14ac:dyDescent="0.25">
      <c r="B21" s="25" t="s">
        <v>2</v>
      </c>
      <c r="C21" s="26"/>
      <c r="D21" s="38"/>
      <c r="E21" s="39"/>
      <c r="H21" s="9" t="s">
        <v>27</v>
      </c>
      <c r="I21" s="88">
        <f t="shared" si="2"/>
        <v>0</v>
      </c>
      <c r="J21" s="88"/>
      <c r="K21" s="40" t="str">
        <f t="shared" ref="K21:K25" si="3">IF($D$15=0,"",I21/$D$15)</f>
        <v/>
      </c>
    </row>
    <row r="22" spans="2:11" ht="19.95" customHeight="1" x14ac:dyDescent="0.25">
      <c r="B22" s="25" t="s">
        <v>3</v>
      </c>
      <c r="C22" s="26"/>
      <c r="D22" s="38"/>
      <c r="E22" s="39"/>
      <c r="H22" s="9" t="s">
        <v>34</v>
      </c>
      <c r="I22" s="88">
        <f t="shared" si="2"/>
        <v>0</v>
      </c>
      <c r="J22" s="88"/>
      <c r="K22" s="40" t="str">
        <f t="shared" si="3"/>
        <v/>
      </c>
    </row>
    <row r="23" spans="2:11" ht="19.95" customHeight="1" thickBot="1" x14ac:dyDescent="0.3">
      <c r="B23" s="41" t="s">
        <v>4</v>
      </c>
      <c r="C23" s="42"/>
      <c r="D23" s="38"/>
      <c r="E23" s="39"/>
      <c r="H23" s="9" t="s">
        <v>28</v>
      </c>
      <c r="I23" s="88">
        <f t="shared" si="2"/>
        <v>0</v>
      </c>
      <c r="J23" s="88"/>
      <c r="K23" s="40" t="str">
        <f t="shared" si="3"/>
        <v/>
      </c>
    </row>
    <row r="24" spans="2:11" ht="19.95" customHeight="1" thickBot="1" x14ac:dyDescent="0.3">
      <c r="B24" s="43" t="s">
        <v>37</v>
      </c>
      <c r="C24" s="44" t="str">
        <f>COUNTIF(O6:O9,TRUE)&amp;" / 4 completed ("&amp;TEXT(COUNTIF(O6:O9,TRUE)/4,"0%")&amp;")"</f>
        <v>0 / 4 completed (0%)</v>
      </c>
      <c r="D24" s="38"/>
      <c r="E24" s="39"/>
      <c r="H24" s="9" t="s">
        <v>29</v>
      </c>
      <c r="I24" s="88">
        <f t="shared" si="2"/>
        <v>0</v>
      </c>
      <c r="J24" s="88"/>
      <c r="K24" s="40" t="str">
        <f t="shared" si="3"/>
        <v/>
      </c>
    </row>
    <row r="25" spans="2:11" ht="19.95" customHeight="1" thickBot="1" x14ac:dyDescent="0.3">
      <c r="H25" s="10" t="s">
        <v>30</v>
      </c>
      <c r="I25" s="89">
        <f t="shared" si="2"/>
        <v>0</v>
      </c>
      <c r="J25" s="89"/>
      <c r="K25" s="45" t="str">
        <f t="shared" si="3"/>
        <v/>
      </c>
    </row>
    <row r="26" spans="2:11" ht="19.95" customHeight="1" thickBot="1" x14ac:dyDescent="0.3"/>
    <row r="27" spans="2:11" ht="19.95" customHeight="1" thickBot="1" x14ac:dyDescent="0.3">
      <c r="B27" s="90" t="s">
        <v>24</v>
      </c>
      <c r="C27" s="91"/>
      <c r="D27" s="91"/>
      <c r="E27" s="91"/>
      <c r="F27" s="92"/>
    </row>
    <row r="28" spans="2:11" ht="19.95" customHeight="1" thickBot="1" x14ac:dyDescent="0.3">
      <c r="B28" s="46" t="s">
        <v>21</v>
      </c>
      <c r="C28" s="47" t="s">
        <v>22</v>
      </c>
      <c r="D28" s="47" t="s">
        <v>23</v>
      </c>
      <c r="E28" s="48" t="s">
        <v>18</v>
      </c>
      <c r="F28" s="49" t="s">
        <v>37</v>
      </c>
      <c r="H28" s="93" t="s">
        <v>33</v>
      </c>
      <c r="I28" s="94"/>
      <c r="J28" s="94"/>
      <c r="K28" s="94"/>
    </row>
    <row r="29" spans="2:11" ht="19.95" customHeight="1" x14ac:dyDescent="0.25">
      <c r="B29" s="51"/>
      <c r="C29" s="52"/>
      <c r="D29" s="52"/>
      <c r="E29" s="53"/>
      <c r="F29" s="67" t="str">
        <f>IF(COUNTA(B29:E29)=0,"",IF(COUNTA(B29:E29)=4,"OK","ERROR: Missing "&amp;_xlfn.TEXTJOIN(", ",TRUE,IF(B29="","Date",""),IF(C29="","Item",""),IF(D29="","Category",""),IF(E29="","Amount",""))))</f>
        <v/>
      </c>
      <c r="H29" s="81" t="s">
        <v>58</v>
      </c>
      <c r="I29" s="82"/>
      <c r="J29" s="88">
        <f>SUM(E29:E103)</f>
        <v>0</v>
      </c>
      <c r="K29" s="88"/>
    </row>
    <row r="30" spans="2:11" ht="19.95" customHeight="1" x14ac:dyDescent="0.25">
      <c r="B30" s="54"/>
      <c r="C30" s="55"/>
      <c r="D30" s="55"/>
      <c r="E30" s="56"/>
      <c r="F30" s="68" t="str">
        <f t="shared" ref="F30:F93" si="4">IF(COUNTA(B30:E30)=0,"",IF(COUNTA(B30:E30)=4,"OK","ERROR: Missing "&amp;_xlfn.TEXTJOIN(", ",TRUE,IF(B30="","Date",""),IF(C30="","Item",""),IF(D30="","Category",""),IF(E30="","Amount",""))))</f>
        <v/>
      </c>
      <c r="H30" s="81" t="s">
        <v>32</v>
      </c>
      <c r="I30" s="82"/>
      <c r="J30" s="83">
        <f>D15-J29</f>
        <v>0</v>
      </c>
      <c r="K30" s="84"/>
    </row>
    <row r="31" spans="2:11" ht="19.95" customHeight="1" x14ac:dyDescent="0.25">
      <c r="B31" s="54"/>
      <c r="C31" s="55"/>
      <c r="D31" s="55"/>
      <c r="E31" s="56"/>
      <c r="F31" s="68" t="str">
        <f t="shared" si="4"/>
        <v/>
      </c>
      <c r="H31" s="95" t="s">
        <v>36</v>
      </c>
      <c r="I31" s="95"/>
      <c r="J31" s="96">
        <f>IF(D15=0,0,J29/D15)</f>
        <v>0</v>
      </c>
      <c r="K31" s="96"/>
    </row>
    <row r="32" spans="2:11" ht="19.95" customHeight="1" x14ac:dyDescent="0.25">
      <c r="B32" s="54"/>
      <c r="C32" s="55"/>
      <c r="D32" s="55"/>
      <c r="E32" s="56"/>
      <c r="F32" s="68" t="str">
        <f t="shared" si="4"/>
        <v/>
      </c>
      <c r="H32" s="97" t="s">
        <v>39</v>
      </c>
      <c r="I32" s="98"/>
      <c r="J32" s="99" t="str">
        <f ca="1">IF(C7="","",IF(TODAY()&lt;C7,0,IF(TODAY()&gt;EOMONTH(C7,0),1,(TODAY()-C7+1)/(EOMONTH(C7,0)-C7+1))))</f>
        <v/>
      </c>
      <c r="K32" s="100"/>
    </row>
    <row r="33" spans="2:11" ht="19.95" customHeight="1" x14ac:dyDescent="0.25">
      <c r="B33" s="54"/>
      <c r="C33" s="55"/>
      <c r="D33" s="55"/>
      <c r="E33" s="56"/>
      <c r="F33" s="68" t="str">
        <f t="shared" si="4"/>
        <v/>
      </c>
      <c r="H33" s="95" t="s">
        <v>49</v>
      </c>
      <c r="I33" s="95"/>
      <c r="J33" s="101" t="str">
        <f ca="1">IF(J32="","",IF(J32=0,0,J31/J32))</f>
        <v/>
      </c>
      <c r="K33" s="101"/>
    </row>
    <row r="34" spans="2:11" ht="19.95" customHeight="1" x14ac:dyDescent="0.25">
      <c r="B34" s="54"/>
      <c r="C34" s="55"/>
      <c r="D34" s="55"/>
      <c r="E34" s="56"/>
      <c r="F34" s="68" t="str">
        <f t="shared" si="4"/>
        <v/>
      </c>
      <c r="H34" s="95" t="s">
        <v>50</v>
      </c>
      <c r="I34" s="95"/>
      <c r="J34" s="84" t="str">
        <f ca="1">IF(J33="","",IF(J33&lt;0.9,"SAVING",IF(J33&lt;=1.1,"ON PLANNED PACE","SPENDING FASTER")))</f>
        <v/>
      </c>
      <c r="K34" s="84"/>
    </row>
    <row r="35" spans="2:11" ht="19.95" customHeight="1" x14ac:dyDescent="0.25">
      <c r="B35" s="54"/>
      <c r="C35" s="55"/>
      <c r="D35" s="55"/>
      <c r="E35" s="56"/>
      <c r="F35" s="68" t="str">
        <f t="shared" si="4"/>
        <v/>
      </c>
    </row>
    <row r="36" spans="2:11" ht="19.95" customHeight="1" x14ac:dyDescent="0.25">
      <c r="B36" s="54"/>
      <c r="C36" s="55"/>
      <c r="D36" s="55"/>
      <c r="E36" s="56"/>
      <c r="F36" s="68" t="str">
        <f t="shared" si="4"/>
        <v/>
      </c>
    </row>
    <row r="37" spans="2:11" ht="19.95" customHeight="1" x14ac:dyDescent="0.25">
      <c r="B37" s="54"/>
      <c r="C37" s="55"/>
      <c r="D37" s="55"/>
      <c r="E37" s="56"/>
      <c r="F37" s="68" t="str">
        <f t="shared" si="4"/>
        <v/>
      </c>
    </row>
    <row r="38" spans="2:11" ht="19.95" customHeight="1" x14ac:dyDescent="0.25">
      <c r="B38" s="54"/>
      <c r="C38" s="57"/>
      <c r="D38" s="57"/>
      <c r="E38" s="58"/>
      <c r="F38" s="68" t="str">
        <f t="shared" si="4"/>
        <v/>
      </c>
    </row>
    <row r="39" spans="2:11" ht="19.95" customHeight="1" x14ac:dyDescent="0.25">
      <c r="B39" s="54"/>
      <c r="C39" s="57"/>
      <c r="D39" s="57"/>
      <c r="E39" s="58"/>
      <c r="F39" s="68"/>
      <c r="H39" s="50"/>
    </row>
    <row r="40" spans="2:11" ht="19.95" customHeight="1" x14ac:dyDescent="0.25">
      <c r="B40" s="54"/>
      <c r="C40" s="57"/>
      <c r="D40" s="57"/>
      <c r="E40" s="58"/>
      <c r="F40" s="68" t="str">
        <f t="shared" si="4"/>
        <v/>
      </c>
    </row>
    <row r="41" spans="2:11" ht="19.95" customHeight="1" x14ac:dyDescent="0.25">
      <c r="B41" s="59"/>
      <c r="C41" s="57"/>
      <c r="D41" s="57"/>
      <c r="E41" s="58"/>
      <c r="F41" s="68" t="str">
        <f t="shared" si="4"/>
        <v/>
      </c>
    </row>
    <row r="42" spans="2:11" ht="19.95" customHeight="1" x14ac:dyDescent="0.25">
      <c r="B42" s="59"/>
      <c r="C42" s="57"/>
      <c r="D42" s="57"/>
      <c r="E42" s="58"/>
      <c r="F42" s="68" t="str">
        <f t="shared" si="4"/>
        <v/>
      </c>
    </row>
    <row r="43" spans="2:11" ht="19.95" customHeight="1" x14ac:dyDescent="0.25">
      <c r="B43" s="59"/>
      <c r="C43" s="57"/>
      <c r="D43" s="57"/>
      <c r="E43" s="58"/>
      <c r="F43" s="68" t="str">
        <f t="shared" si="4"/>
        <v/>
      </c>
    </row>
    <row r="44" spans="2:11" ht="19.95" customHeight="1" x14ac:dyDescent="0.25">
      <c r="B44" s="59"/>
      <c r="C44" s="57"/>
      <c r="D44" s="57"/>
      <c r="E44" s="58"/>
      <c r="F44" s="68" t="str">
        <f t="shared" si="4"/>
        <v/>
      </c>
    </row>
    <row r="45" spans="2:11" ht="19.95" customHeight="1" x14ac:dyDescent="0.25">
      <c r="B45" s="59"/>
      <c r="C45" s="57"/>
      <c r="D45" s="57"/>
      <c r="E45" s="58"/>
      <c r="F45" s="68" t="str">
        <f t="shared" si="4"/>
        <v/>
      </c>
    </row>
    <row r="46" spans="2:11" ht="19.95" customHeight="1" x14ac:dyDescent="0.25">
      <c r="B46" s="59"/>
      <c r="C46" s="57"/>
      <c r="D46" s="57"/>
      <c r="E46" s="58"/>
      <c r="F46" s="68" t="str">
        <f t="shared" si="4"/>
        <v/>
      </c>
    </row>
    <row r="47" spans="2:11" ht="19.95" customHeight="1" x14ac:dyDescent="0.25">
      <c r="B47" s="59"/>
      <c r="C47" s="57"/>
      <c r="D47" s="57"/>
      <c r="E47" s="58"/>
      <c r="F47" s="68" t="str">
        <f t="shared" si="4"/>
        <v/>
      </c>
    </row>
    <row r="48" spans="2:11" ht="19.95" customHeight="1" x14ac:dyDescent="0.25">
      <c r="B48" s="59"/>
      <c r="C48" s="57"/>
      <c r="D48" s="57"/>
      <c r="E48" s="58"/>
      <c r="F48" s="68" t="str">
        <f t="shared" si="4"/>
        <v/>
      </c>
    </row>
    <row r="49" spans="2:6" ht="19.95" customHeight="1" x14ac:dyDescent="0.25">
      <c r="B49" s="59"/>
      <c r="C49" s="57"/>
      <c r="D49" s="57"/>
      <c r="E49" s="58"/>
      <c r="F49" s="68" t="str">
        <f t="shared" si="4"/>
        <v/>
      </c>
    </row>
    <row r="50" spans="2:6" ht="19.95" customHeight="1" x14ac:dyDescent="0.25">
      <c r="B50" s="59"/>
      <c r="C50" s="57"/>
      <c r="D50" s="57"/>
      <c r="E50" s="58"/>
      <c r="F50" s="68" t="str">
        <f t="shared" si="4"/>
        <v/>
      </c>
    </row>
    <row r="51" spans="2:6" ht="19.95" customHeight="1" x14ac:dyDescent="0.25">
      <c r="B51" s="59"/>
      <c r="C51" s="57"/>
      <c r="D51" s="57"/>
      <c r="E51" s="58"/>
      <c r="F51" s="68" t="str">
        <f t="shared" si="4"/>
        <v/>
      </c>
    </row>
    <row r="52" spans="2:6" ht="19.95" customHeight="1" x14ac:dyDescent="0.25">
      <c r="B52" s="59"/>
      <c r="C52" s="57"/>
      <c r="D52" s="57"/>
      <c r="E52" s="58"/>
      <c r="F52" s="68" t="str">
        <f t="shared" si="4"/>
        <v/>
      </c>
    </row>
    <row r="53" spans="2:6" ht="19.95" customHeight="1" x14ac:dyDescent="0.25">
      <c r="B53" s="59"/>
      <c r="C53" s="57"/>
      <c r="D53" s="57"/>
      <c r="E53" s="58"/>
      <c r="F53" s="68" t="str">
        <f t="shared" si="4"/>
        <v/>
      </c>
    </row>
    <row r="54" spans="2:6" ht="19.95" customHeight="1" x14ac:dyDescent="0.25">
      <c r="B54" s="59"/>
      <c r="C54" s="57"/>
      <c r="D54" s="57"/>
      <c r="E54" s="58"/>
      <c r="F54" s="68" t="str">
        <f t="shared" si="4"/>
        <v/>
      </c>
    </row>
    <row r="55" spans="2:6" ht="19.95" customHeight="1" x14ac:dyDescent="0.25">
      <c r="B55" s="59"/>
      <c r="C55" s="57"/>
      <c r="D55" s="57"/>
      <c r="E55" s="58"/>
      <c r="F55" s="68" t="str">
        <f t="shared" si="4"/>
        <v/>
      </c>
    </row>
    <row r="56" spans="2:6" ht="19.95" customHeight="1" x14ac:dyDescent="0.25">
      <c r="B56" s="59"/>
      <c r="C56" s="57"/>
      <c r="D56" s="57"/>
      <c r="E56" s="58"/>
      <c r="F56" s="68" t="str">
        <f t="shared" si="4"/>
        <v/>
      </c>
    </row>
    <row r="57" spans="2:6" ht="19.95" customHeight="1" x14ac:dyDescent="0.25">
      <c r="B57" s="59"/>
      <c r="C57" s="57"/>
      <c r="D57" s="57"/>
      <c r="E57" s="58"/>
      <c r="F57" s="68" t="str">
        <f t="shared" si="4"/>
        <v/>
      </c>
    </row>
    <row r="58" spans="2:6" ht="19.95" customHeight="1" x14ac:dyDescent="0.25">
      <c r="B58" s="59"/>
      <c r="C58" s="57"/>
      <c r="D58" s="57"/>
      <c r="E58" s="58"/>
      <c r="F58" s="68" t="str">
        <f t="shared" si="4"/>
        <v/>
      </c>
    </row>
    <row r="59" spans="2:6" ht="19.95" customHeight="1" x14ac:dyDescent="0.25">
      <c r="B59" s="59"/>
      <c r="C59" s="57"/>
      <c r="D59" s="57"/>
      <c r="E59" s="58"/>
      <c r="F59" s="68" t="str">
        <f t="shared" si="4"/>
        <v/>
      </c>
    </row>
    <row r="60" spans="2:6" ht="19.95" customHeight="1" x14ac:dyDescent="0.25">
      <c r="B60" s="59"/>
      <c r="C60" s="57"/>
      <c r="D60" s="57"/>
      <c r="E60" s="58"/>
      <c r="F60" s="68" t="str">
        <f t="shared" si="4"/>
        <v/>
      </c>
    </row>
    <row r="61" spans="2:6" ht="19.95" customHeight="1" x14ac:dyDescent="0.25">
      <c r="B61" s="59"/>
      <c r="C61" s="57"/>
      <c r="D61" s="57"/>
      <c r="E61" s="58"/>
      <c r="F61" s="68" t="str">
        <f t="shared" si="4"/>
        <v/>
      </c>
    </row>
    <row r="62" spans="2:6" ht="19.95" customHeight="1" x14ac:dyDescent="0.25">
      <c r="B62" s="59"/>
      <c r="C62" s="57"/>
      <c r="D62" s="57"/>
      <c r="E62" s="58"/>
      <c r="F62" s="68" t="str">
        <f t="shared" si="4"/>
        <v/>
      </c>
    </row>
    <row r="63" spans="2:6" ht="19.95" customHeight="1" x14ac:dyDescent="0.25">
      <c r="B63" s="59"/>
      <c r="C63" s="57"/>
      <c r="D63" s="57"/>
      <c r="E63" s="58"/>
      <c r="F63" s="68" t="str">
        <f t="shared" si="4"/>
        <v/>
      </c>
    </row>
    <row r="64" spans="2:6" ht="19.95" customHeight="1" x14ac:dyDescent="0.25">
      <c r="B64" s="59"/>
      <c r="C64" s="57"/>
      <c r="D64" s="57"/>
      <c r="E64" s="58"/>
      <c r="F64" s="68" t="str">
        <f t="shared" si="4"/>
        <v/>
      </c>
    </row>
    <row r="65" spans="2:6" ht="19.95" customHeight="1" x14ac:dyDescent="0.25">
      <c r="B65" s="59"/>
      <c r="C65" s="57"/>
      <c r="D65" s="57"/>
      <c r="E65" s="58"/>
      <c r="F65" s="68" t="str">
        <f t="shared" si="4"/>
        <v/>
      </c>
    </row>
    <row r="66" spans="2:6" ht="19.95" customHeight="1" x14ac:dyDescent="0.25">
      <c r="B66" s="59"/>
      <c r="C66" s="57"/>
      <c r="D66" s="57"/>
      <c r="E66" s="58"/>
      <c r="F66" s="68" t="str">
        <f t="shared" si="4"/>
        <v/>
      </c>
    </row>
    <row r="67" spans="2:6" ht="19.95" customHeight="1" x14ac:dyDescent="0.25">
      <c r="B67" s="59"/>
      <c r="C67" s="57"/>
      <c r="D67" s="57"/>
      <c r="E67" s="58"/>
      <c r="F67" s="68" t="str">
        <f t="shared" si="4"/>
        <v/>
      </c>
    </row>
    <row r="68" spans="2:6" ht="19.95" customHeight="1" x14ac:dyDescent="0.25">
      <c r="B68" s="59"/>
      <c r="C68" s="57"/>
      <c r="D68" s="57"/>
      <c r="E68" s="58"/>
      <c r="F68" s="68" t="str">
        <f t="shared" si="4"/>
        <v/>
      </c>
    </row>
    <row r="69" spans="2:6" ht="19.95" customHeight="1" x14ac:dyDescent="0.25">
      <c r="B69" s="59"/>
      <c r="C69" s="57"/>
      <c r="D69" s="57"/>
      <c r="E69" s="58"/>
      <c r="F69" s="68" t="str">
        <f t="shared" si="4"/>
        <v/>
      </c>
    </row>
    <row r="70" spans="2:6" ht="19.95" customHeight="1" x14ac:dyDescent="0.25">
      <c r="B70" s="59"/>
      <c r="C70" s="57"/>
      <c r="D70" s="57"/>
      <c r="E70" s="58"/>
      <c r="F70" s="68" t="str">
        <f t="shared" si="4"/>
        <v/>
      </c>
    </row>
    <row r="71" spans="2:6" ht="19.95" customHeight="1" x14ac:dyDescent="0.25">
      <c r="B71" s="59"/>
      <c r="C71" s="57"/>
      <c r="D71" s="57"/>
      <c r="E71" s="58"/>
      <c r="F71" s="68" t="str">
        <f t="shared" si="4"/>
        <v/>
      </c>
    </row>
    <row r="72" spans="2:6" ht="19.95" customHeight="1" x14ac:dyDescent="0.25">
      <c r="B72" s="59"/>
      <c r="C72" s="57"/>
      <c r="D72" s="57"/>
      <c r="E72" s="58"/>
      <c r="F72" s="68" t="str">
        <f t="shared" si="4"/>
        <v/>
      </c>
    </row>
    <row r="73" spans="2:6" ht="19.95" customHeight="1" x14ac:dyDescent="0.25">
      <c r="B73" s="59"/>
      <c r="C73" s="57"/>
      <c r="D73" s="57"/>
      <c r="E73" s="58"/>
      <c r="F73" s="68" t="str">
        <f t="shared" si="4"/>
        <v/>
      </c>
    </row>
    <row r="74" spans="2:6" ht="19.95" customHeight="1" x14ac:dyDescent="0.25">
      <c r="B74" s="59"/>
      <c r="C74" s="57"/>
      <c r="D74" s="57"/>
      <c r="E74" s="58"/>
      <c r="F74" s="68" t="str">
        <f t="shared" si="4"/>
        <v/>
      </c>
    </row>
    <row r="75" spans="2:6" ht="19.95" customHeight="1" x14ac:dyDescent="0.25">
      <c r="B75" s="59"/>
      <c r="C75" s="57"/>
      <c r="D75" s="57"/>
      <c r="E75" s="58"/>
      <c r="F75" s="68" t="str">
        <f t="shared" si="4"/>
        <v/>
      </c>
    </row>
    <row r="76" spans="2:6" ht="19.95" customHeight="1" x14ac:dyDescent="0.25">
      <c r="B76" s="59"/>
      <c r="C76" s="57"/>
      <c r="D76" s="57"/>
      <c r="E76" s="58"/>
      <c r="F76" s="68" t="str">
        <f t="shared" si="4"/>
        <v/>
      </c>
    </row>
    <row r="77" spans="2:6" ht="19.95" customHeight="1" x14ac:dyDescent="0.25">
      <c r="B77" s="59"/>
      <c r="C77" s="57"/>
      <c r="D77" s="57"/>
      <c r="E77" s="58"/>
      <c r="F77" s="68" t="str">
        <f t="shared" si="4"/>
        <v/>
      </c>
    </row>
    <row r="78" spans="2:6" ht="19.95" customHeight="1" x14ac:dyDescent="0.25">
      <c r="B78" s="59"/>
      <c r="C78" s="57"/>
      <c r="D78" s="57"/>
      <c r="E78" s="58"/>
      <c r="F78" s="68" t="str">
        <f t="shared" si="4"/>
        <v/>
      </c>
    </row>
    <row r="79" spans="2:6" ht="19.95" customHeight="1" x14ac:dyDescent="0.25">
      <c r="B79" s="59"/>
      <c r="C79" s="57"/>
      <c r="D79" s="57"/>
      <c r="E79" s="58"/>
      <c r="F79" s="68" t="str">
        <f t="shared" si="4"/>
        <v/>
      </c>
    </row>
    <row r="80" spans="2:6" ht="19.95" customHeight="1" x14ac:dyDescent="0.25">
      <c r="B80" s="59"/>
      <c r="C80" s="57"/>
      <c r="D80" s="57"/>
      <c r="E80" s="58"/>
      <c r="F80" s="68" t="str">
        <f t="shared" si="4"/>
        <v/>
      </c>
    </row>
    <row r="81" spans="2:6" ht="19.95" customHeight="1" x14ac:dyDescent="0.25">
      <c r="B81" s="59"/>
      <c r="C81" s="57"/>
      <c r="D81" s="57"/>
      <c r="E81" s="58"/>
      <c r="F81" s="68" t="str">
        <f t="shared" si="4"/>
        <v/>
      </c>
    </row>
    <row r="82" spans="2:6" ht="19.95" customHeight="1" x14ac:dyDescent="0.25">
      <c r="B82" s="59"/>
      <c r="C82" s="57"/>
      <c r="D82" s="57"/>
      <c r="E82" s="58"/>
      <c r="F82" s="68" t="str">
        <f t="shared" si="4"/>
        <v/>
      </c>
    </row>
    <row r="83" spans="2:6" ht="19.95" customHeight="1" x14ac:dyDescent="0.25">
      <c r="B83" s="59"/>
      <c r="C83" s="57"/>
      <c r="D83" s="57"/>
      <c r="E83" s="58"/>
      <c r="F83" s="68" t="str">
        <f t="shared" si="4"/>
        <v/>
      </c>
    </row>
    <row r="84" spans="2:6" ht="19.95" customHeight="1" x14ac:dyDescent="0.25">
      <c r="B84" s="59"/>
      <c r="C84" s="57"/>
      <c r="D84" s="57"/>
      <c r="E84" s="58"/>
      <c r="F84" s="68" t="str">
        <f t="shared" si="4"/>
        <v/>
      </c>
    </row>
    <row r="85" spans="2:6" ht="19.95" customHeight="1" x14ac:dyDescent="0.25">
      <c r="B85" s="59"/>
      <c r="C85" s="57"/>
      <c r="D85" s="57"/>
      <c r="E85" s="58"/>
      <c r="F85" s="68" t="str">
        <f t="shared" si="4"/>
        <v/>
      </c>
    </row>
    <row r="86" spans="2:6" ht="19.95" customHeight="1" x14ac:dyDescent="0.25">
      <c r="B86" s="59"/>
      <c r="C86" s="57"/>
      <c r="D86" s="57"/>
      <c r="E86" s="58"/>
      <c r="F86" s="68" t="str">
        <f t="shared" si="4"/>
        <v/>
      </c>
    </row>
    <row r="87" spans="2:6" ht="19.95" customHeight="1" x14ac:dyDescent="0.25">
      <c r="B87" s="59"/>
      <c r="C87" s="57"/>
      <c r="D87" s="57"/>
      <c r="E87" s="58"/>
      <c r="F87" s="68" t="str">
        <f t="shared" si="4"/>
        <v/>
      </c>
    </row>
    <row r="88" spans="2:6" ht="19.95" customHeight="1" x14ac:dyDescent="0.25">
      <c r="B88" s="59"/>
      <c r="C88" s="57"/>
      <c r="D88" s="57"/>
      <c r="E88" s="58"/>
      <c r="F88" s="68" t="str">
        <f t="shared" si="4"/>
        <v/>
      </c>
    </row>
    <row r="89" spans="2:6" ht="19.95" customHeight="1" x14ac:dyDescent="0.25">
      <c r="B89" s="59"/>
      <c r="C89" s="57"/>
      <c r="D89" s="57"/>
      <c r="E89" s="58"/>
      <c r="F89" s="68" t="str">
        <f t="shared" si="4"/>
        <v/>
      </c>
    </row>
    <row r="90" spans="2:6" ht="19.95" customHeight="1" x14ac:dyDescent="0.25">
      <c r="B90" s="59"/>
      <c r="C90" s="57"/>
      <c r="D90" s="57"/>
      <c r="E90" s="58"/>
      <c r="F90" s="68" t="str">
        <f t="shared" si="4"/>
        <v/>
      </c>
    </row>
    <row r="91" spans="2:6" ht="19.95" customHeight="1" x14ac:dyDescent="0.25">
      <c r="B91" s="59"/>
      <c r="C91" s="57"/>
      <c r="D91" s="57"/>
      <c r="E91" s="58"/>
      <c r="F91" s="68" t="str">
        <f t="shared" si="4"/>
        <v/>
      </c>
    </row>
    <row r="92" spans="2:6" ht="19.95" customHeight="1" x14ac:dyDescent="0.25">
      <c r="B92" s="59"/>
      <c r="C92" s="57"/>
      <c r="D92" s="57"/>
      <c r="E92" s="58"/>
      <c r="F92" s="68" t="str">
        <f t="shared" si="4"/>
        <v/>
      </c>
    </row>
    <row r="93" spans="2:6" ht="19.95" customHeight="1" x14ac:dyDescent="0.25">
      <c r="B93" s="59"/>
      <c r="C93" s="57"/>
      <c r="D93" s="57"/>
      <c r="E93" s="58"/>
      <c r="F93" s="68" t="str">
        <f t="shared" si="4"/>
        <v/>
      </c>
    </row>
    <row r="94" spans="2:6" ht="19.95" customHeight="1" x14ac:dyDescent="0.25">
      <c r="B94" s="59"/>
      <c r="C94" s="57"/>
      <c r="D94" s="57"/>
      <c r="E94" s="58"/>
      <c r="F94" s="68" t="str">
        <f t="shared" ref="F94:F103" si="5">IF(COUNTA(B94:E94)=0,"",IF(COUNTA(B94:E94)=4,"OK","ERROR: Missing "&amp;_xlfn.TEXTJOIN(", ",TRUE,IF(B94="","Date",""),IF(C94="","Item",""),IF(D94="","Category",""),IF(E94="","Amount",""))))</f>
        <v/>
      </c>
    </row>
    <row r="95" spans="2:6" ht="19.95" customHeight="1" x14ac:dyDescent="0.25">
      <c r="B95" s="59"/>
      <c r="C95" s="57"/>
      <c r="D95" s="57"/>
      <c r="E95" s="58"/>
      <c r="F95" s="68" t="str">
        <f t="shared" si="5"/>
        <v/>
      </c>
    </row>
    <row r="96" spans="2:6" ht="19.95" customHeight="1" x14ac:dyDescent="0.25">
      <c r="B96" s="59"/>
      <c r="C96" s="57"/>
      <c r="D96" s="57"/>
      <c r="E96" s="58"/>
      <c r="F96" s="68" t="str">
        <f t="shared" si="5"/>
        <v/>
      </c>
    </row>
    <row r="97" spans="2:6" ht="19.95" customHeight="1" x14ac:dyDescent="0.25">
      <c r="B97" s="59"/>
      <c r="C97" s="57"/>
      <c r="D97" s="57"/>
      <c r="E97" s="58"/>
      <c r="F97" s="68" t="str">
        <f t="shared" si="5"/>
        <v/>
      </c>
    </row>
    <row r="98" spans="2:6" ht="19.95" customHeight="1" x14ac:dyDescent="0.25">
      <c r="B98" s="59"/>
      <c r="C98" s="57"/>
      <c r="D98" s="57"/>
      <c r="E98" s="58"/>
      <c r="F98" s="68" t="str">
        <f t="shared" si="5"/>
        <v/>
      </c>
    </row>
    <row r="99" spans="2:6" ht="19.95" customHeight="1" x14ac:dyDescent="0.25">
      <c r="B99" s="59"/>
      <c r="C99" s="57"/>
      <c r="D99" s="57"/>
      <c r="E99" s="58"/>
      <c r="F99" s="68" t="str">
        <f t="shared" si="5"/>
        <v/>
      </c>
    </row>
    <row r="100" spans="2:6" ht="19.95" customHeight="1" x14ac:dyDescent="0.25">
      <c r="B100" s="59"/>
      <c r="C100" s="57"/>
      <c r="D100" s="57"/>
      <c r="E100" s="58"/>
      <c r="F100" s="68" t="str">
        <f t="shared" si="5"/>
        <v/>
      </c>
    </row>
    <row r="101" spans="2:6" ht="19.95" customHeight="1" x14ac:dyDescent="0.25">
      <c r="B101" s="59"/>
      <c r="C101" s="57"/>
      <c r="D101" s="57"/>
      <c r="E101" s="58"/>
      <c r="F101" s="68" t="str">
        <f t="shared" si="5"/>
        <v/>
      </c>
    </row>
    <row r="102" spans="2:6" ht="19.95" customHeight="1" x14ac:dyDescent="0.25">
      <c r="B102" s="59"/>
      <c r="C102" s="57"/>
      <c r="D102" s="57"/>
      <c r="E102" s="58"/>
      <c r="F102" s="68" t="str">
        <f t="shared" si="5"/>
        <v/>
      </c>
    </row>
    <row r="103" spans="2:6" ht="19.95" customHeight="1" thickBot="1" x14ac:dyDescent="0.3">
      <c r="B103" s="60"/>
      <c r="C103" s="61"/>
      <c r="D103" s="61"/>
      <c r="E103" s="62"/>
      <c r="F103" s="69" t="str">
        <f t="shared" si="5"/>
        <v/>
      </c>
    </row>
  </sheetData>
  <sheetProtection algorithmName="SHA-512" hashValue="CCzwqutPggLcpj9K/66bcx7L3vujomKoGJQ+BKSTWRBKo+5h6fd+anKrLpqE8X7sovzh9Duvr4R4xuEL5jfbwA==" saltValue="ckxFhHuQtiVf1LlN9IOL3w==" spinCount="100000" sheet="1" objects="1" scenarios="1" selectLockedCells="1"/>
  <mergeCells count="27">
    <mergeCell ref="B27:F27"/>
    <mergeCell ref="H28:K28"/>
    <mergeCell ref="H29:I29"/>
    <mergeCell ref="J29:K29"/>
    <mergeCell ref="H34:I34"/>
    <mergeCell ref="J34:K34"/>
    <mergeCell ref="H31:I31"/>
    <mergeCell ref="J31:K31"/>
    <mergeCell ref="H32:I32"/>
    <mergeCell ref="J32:K32"/>
    <mergeCell ref="H33:I33"/>
    <mergeCell ref="J33:K33"/>
    <mergeCell ref="H30:I30"/>
    <mergeCell ref="J30:K30"/>
    <mergeCell ref="I19:J19"/>
    <mergeCell ref="I20:J20"/>
    <mergeCell ref="I21:J21"/>
    <mergeCell ref="I22:J22"/>
    <mergeCell ref="I23:J23"/>
    <mergeCell ref="I24:J24"/>
    <mergeCell ref="I25:J25"/>
    <mergeCell ref="B18:C18"/>
    <mergeCell ref="B1:P4"/>
    <mergeCell ref="H6:J6"/>
    <mergeCell ref="D7:E8"/>
    <mergeCell ref="B9:D9"/>
    <mergeCell ref="M12:M15"/>
  </mergeCells>
  <conditionalFormatting sqref="C24">
    <cfRule type="expression" dxfId="7" priority="1">
      <formula>COUNTIF($O$6:$O$9,TRUE)=4</formula>
    </cfRule>
    <cfRule type="expression" dxfId="6" priority="2">
      <formula>COUNTIF($O$6:$O$9,TRUE)=3</formula>
    </cfRule>
    <cfRule type="expression" dxfId="5" priority="3">
      <formula>COUNTIF($O$6:$O$9,TRUE)=2</formula>
    </cfRule>
    <cfRule type="expression" dxfId="4" priority="4">
      <formula>COUNTIF($O$6:$O$9,TRUE)=1</formula>
    </cfRule>
    <cfRule type="expression" dxfId="3" priority="5">
      <formula>COUNTIF($O$6:$O$9,TRUE)=0</formula>
    </cfRule>
  </conditionalFormatting>
  <conditionalFormatting sqref="J34:K34">
    <cfRule type="containsText" dxfId="2" priority="7" operator="containsText" text="SPENDING FASTER">
      <formula>NOT(ISERROR(SEARCH("SPENDING FASTER",J34)))</formula>
    </cfRule>
    <cfRule type="containsText" dxfId="1" priority="8" operator="containsText" text="ON PLANNED PACE">
      <formula>NOT(ISERROR(SEARCH("ON PLANNED PACE",J34)))</formula>
    </cfRule>
    <cfRule type="containsText" dxfId="0" priority="9" operator="containsText" text="SAVING">
      <formula>NOT(ISERROR(SEARCH("SAVING",J34)))</formula>
    </cfRule>
  </conditionalFormatting>
  <conditionalFormatting sqref="K20:K25">
    <cfRule type="dataBar" priority="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{16433776-1B91-41EC-A299-745A72A415FE}</x14:id>
        </ext>
      </extLst>
    </cfRule>
  </conditionalFormatting>
  <dataValidations count="5">
    <dataValidation type="list" allowBlank="1" showInputMessage="1" showErrorMessage="1" sqref="D29:D103" xr:uid="{E3C86C81-C41E-40DE-B312-670F8EC81921}">
      <formula1>$H$20:$H$25</formula1>
    </dataValidation>
    <dataValidation type="decimal" operator="greaterThan" allowBlank="1" showInputMessage="1" showErrorMessage="1" error="Enter valid amount" prompt="Enter Amount " sqref="E29:E103" xr:uid="{EA7119C3-688C-4A08-8EED-3C637BA8850C}">
      <formula1>0</formula1>
    </dataValidation>
    <dataValidation type="date" allowBlank="1" showInputMessage="1" showErrorMessage="1" error="Invalid Date" prompt="Enter Date" sqref="B101:B103" xr:uid="{504ED645-5F87-453B-BCE2-16FDA6967D59}">
      <formula1>46023</formula1>
      <formula2>73415</formula2>
    </dataValidation>
    <dataValidation type="date" allowBlank="1" showInputMessage="1" showErrorMessage="1" sqref="B41:B100" xr:uid="{7D412151-28D5-4C6B-8B6A-77542F1A756C}">
      <formula1>43831</formula1>
      <formula2>73415</formula2>
    </dataValidation>
    <dataValidation type="date" allowBlank="1" showInputMessage="1" showErrorMessage="1" error="Enter a valid date" prompt="Enter Date" sqref="B29:B40" xr:uid="{6A98AD18-7087-4013-8A81-16C97664AC75}">
      <formula1>43831</formula1>
      <formula2>73415</formula2>
    </dataValidation>
  </dataValidations>
  <pageMargins left="0.7" right="0.7" top="0.75" bottom="0.75" header="0.3" footer="0.3"/>
  <pageSetup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5121" r:id="rId4" name="Check Box 1">
              <controlPr locked="0" defaultSize="0" autoFill="0" autoLine="0" autoPict="0">
                <anchor>
                  <from>
                    <xdr:col>2</xdr:col>
                    <xdr:colOff>822960</xdr:colOff>
                    <xdr:row>19</xdr:row>
                    <xdr:rowOff>7620</xdr:rowOff>
                  </from>
                  <to>
                    <xdr:col>2</xdr:col>
                    <xdr:colOff>1013460</xdr:colOff>
                    <xdr:row>19</xdr:row>
                    <xdr:rowOff>236220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22" r:id="rId5" name="Check Box 2">
              <controlPr locked="0" defaultSize="0" autoFill="0" autoLine="0" autoPict="0">
                <anchor>
                  <from>
                    <xdr:col>2</xdr:col>
                    <xdr:colOff>822960</xdr:colOff>
                    <xdr:row>20</xdr:row>
                    <xdr:rowOff>7620</xdr:rowOff>
                  </from>
                  <to>
                    <xdr:col>2</xdr:col>
                    <xdr:colOff>1013460</xdr:colOff>
                    <xdr:row>20</xdr:row>
                    <xdr:rowOff>236220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23" r:id="rId6" name="Check Box 3">
              <controlPr locked="0" defaultSize="0" autoFill="0" autoLine="0" autoPict="0">
                <anchor>
                  <from>
                    <xdr:col>2</xdr:col>
                    <xdr:colOff>822960</xdr:colOff>
                    <xdr:row>21</xdr:row>
                    <xdr:rowOff>22860</xdr:rowOff>
                  </from>
                  <to>
                    <xdr:col>2</xdr:col>
                    <xdr:colOff>1013460</xdr:colOff>
                    <xdr:row>21</xdr:row>
                    <xdr:rowOff>243840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24" r:id="rId7" name="Check Box 4">
              <controlPr locked="0" defaultSize="0" autoFill="0" autoLine="0" autoPict="0" altText="">
                <anchor>
                  <from>
                    <xdr:col>2</xdr:col>
                    <xdr:colOff>822960</xdr:colOff>
                    <xdr:row>22</xdr:row>
                    <xdr:rowOff>22860</xdr:rowOff>
                  </from>
                  <to>
                    <xdr:col>2</xdr:col>
                    <xdr:colOff>1013460</xdr:colOff>
                    <xdr:row>22</xdr:row>
                    <xdr:rowOff>243840</xdr:rowOff>
                  </to>
                </anchor>
              </controlPr>
            </control>
          </mc:Choice>
        </mc:AlternateContent>
      </controls>
    </mc:Choice>
  </mc:AlternateContent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16433776-1B91-41EC-A299-745A72A415FE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K20:K25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Master - Do not Edit</vt:lpstr>
      <vt:lpstr>Create copy and use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Ashrit K</dc:creator>
  <cp:lastModifiedBy>Ashrit K</cp:lastModifiedBy>
  <dcterms:created xsi:type="dcterms:W3CDTF">2026-08-11T09:37:49Z</dcterms:created>
  <dcterms:modified xsi:type="dcterms:W3CDTF">2026-08-12T06:18:29Z</dcterms:modified>
</cp:coreProperties>
</file>